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sica.m\Downloads\"/>
    </mc:Choice>
  </mc:AlternateContent>
  <bookViews>
    <workbookView xWindow="0" yWindow="0" windowWidth="28800" windowHeight="11715"/>
  </bookViews>
  <sheets>
    <sheet name="Premissas" sheetId="1" r:id="rId1"/>
    <sheet name="Matriz_ICMS" sheetId="2" r:id="rId2"/>
    <sheet name="Filial_LP" sheetId="3" r:id="rId3"/>
    <sheet name="Federal_Consolidado" sheetId="4" r:id="rId4"/>
    <sheet name="Dashboard" sheetId="5" r:id="rId5"/>
    <sheet name="Notas" sheetId="6" r:id="rId6"/>
  </sheets>
  <calcPr calcId="152511"/>
</workbook>
</file>

<file path=xl/calcChain.xml><?xml version="1.0" encoding="utf-8"?>
<calcChain xmlns="http://schemas.openxmlformats.org/spreadsheetml/2006/main">
  <c r="B9" i="2" l="1"/>
  <c r="E10" i="1"/>
  <c r="E9" i="1"/>
  <c r="E7" i="1"/>
  <c r="E5" i="1"/>
  <c r="D4" i="4"/>
  <c r="D8" i="4" s="1"/>
  <c r="C4" i="4"/>
  <c r="C8" i="4" s="1"/>
  <c r="B4" i="4"/>
  <c r="B8" i="4" s="1"/>
  <c r="D6" i="3"/>
  <c r="C6" i="3"/>
  <c r="B6" i="3"/>
  <c r="D4" i="3"/>
  <c r="D12" i="3" s="1"/>
  <c r="C4" i="3"/>
  <c r="C9" i="3" s="1"/>
  <c r="B4" i="3"/>
  <c r="B9" i="3" s="1"/>
  <c r="B6" i="2"/>
  <c r="B4" i="2"/>
  <c r="B5" i="2" s="1"/>
  <c r="B7" i="2" s="1"/>
  <c r="E8" i="1"/>
  <c r="E6" i="1"/>
  <c r="E4" i="1"/>
  <c r="B13" i="4" l="1"/>
  <c r="B14" i="4" s="1"/>
  <c r="C5" i="4"/>
  <c r="B11" i="4"/>
  <c r="B12" i="4" s="1"/>
  <c r="C13" i="4"/>
  <c r="C14" i="4" s="1"/>
  <c r="B5" i="4"/>
  <c r="B8" i="5"/>
  <c r="C8" i="5"/>
  <c r="D9" i="3"/>
  <c r="B10" i="3"/>
  <c r="B15" i="4" s="1"/>
  <c r="C10" i="3"/>
  <c r="C15" i="4" s="1"/>
  <c r="D10" i="3"/>
  <c r="D15" i="4" s="1"/>
  <c r="D6" i="4"/>
  <c r="C6" i="4"/>
  <c r="B6" i="4"/>
  <c r="C9" i="4"/>
  <c r="D9" i="4"/>
  <c r="D10" i="4" s="1"/>
  <c r="B9" i="4"/>
  <c r="B10" i="4"/>
  <c r="C10" i="4"/>
  <c r="B7" i="4"/>
  <c r="B8" i="2"/>
  <c r="B10" i="2" s="1"/>
  <c r="D5" i="4"/>
  <c r="D7" i="4" s="1"/>
  <c r="D13" i="4"/>
  <c r="D14" i="4" s="1"/>
  <c r="D8" i="5"/>
  <c r="B7" i="3"/>
  <c r="B5" i="5" s="1"/>
  <c r="B11" i="3"/>
  <c r="C7" i="3"/>
  <c r="C5" i="5" s="1"/>
  <c r="C11" i="3"/>
  <c r="D7" i="3"/>
  <c r="D5" i="5" s="1"/>
  <c r="D11" i="3"/>
  <c r="B5" i="3"/>
  <c r="B8" i="3"/>
  <c r="B12" i="3"/>
  <c r="C5" i="3"/>
  <c r="C8" i="3"/>
  <c r="C12" i="3"/>
  <c r="C11" i="4"/>
  <c r="C12" i="4" s="1"/>
  <c r="D5" i="3"/>
  <c r="D8" i="3"/>
  <c r="D11" i="4"/>
  <c r="D12" i="4" s="1"/>
  <c r="C7" i="4" l="1"/>
  <c r="C16" i="4" s="1"/>
  <c r="C6" i="5" s="1"/>
  <c r="B16" i="4"/>
  <c r="B6" i="5" s="1"/>
  <c r="B10" i="5"/>
  <c r="D10" i="5"/>
  <c r="C10" i="5"/>
  <c r="D16" i="4"/>
  <c r="D6" i="5" s="1"/>
  <c r="D4" i="5" l="1"/>
  <c r="D7" i="5" s="1"/>
  <c r="D9" i="5" s="1"/>
  <c r="D11" i="5" s="1"/>
  <c r="C4" i="5"/>
  <c r="C7" i="5" s="1"/>
  <c r="C9" i="5" s="1"/>
  <c r="C11" i="5" s="1"/>
  <c r="B4" i="5"/>
  <c r="B7" i="5" s="1"/>
  <c r="B9" i="5" s="1"/>
  <c r="B11" i="5" s="1"/>
</calcChain>
</file>

<file path=xl/comments1.xml><?xml version="1.0" encoding="utf-8"?>
<comments xmlns="http://schemas.openxmlformats.org/spreadsheetml/2006/main">
  <authors>
    <author>OpenAI</author>
  </authors>
  <commentList>
    <comment ref="B5" authorId="0" shapeId="0">
      <text>
        <r>
          <rPr>
            <sz val="11"/>
            <color theme="1"/>
            <rFont val="Calibri"/>
            <family val="2"/>
            <scheme val="minor"/>
          </rPr>
          <t>Fonte: SEFAZ RJ alíquota geral da matriz usada na simulação anterior.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Fonte: crédito histórico efetivo calculado na planilha simulacao_revenda_icms_e_impostos_100k.xlsx.</t>
        </r>
      </text>
    </comment>
  </commentList>
</comments>
</file>

<file path=xl/sharedStrings.xml><?xml version="1.0" encoding="utf-8"?>
<sst xmlns="http://schemas.openxmlformats.org/spreadsheetml/2006/main" count="123" uniqueCount="107">
  <si>
    <t>Unificação Matriz + Filial | LP consolidado para dashboard</t>
  </si>
  <si>
    <t>Matriz | faturamento de saída</t>
  </si>
  <si>
    <t>Créditos de transição</t>
  </si>
  <si>
    <t>Matriz | base de compras da simulação</t>
  </si>
  <si>
    <t>Crédito total ICMS estoque</t>
  </si>
  <si>
    <t>Matriz | alíquota ICMS saída</t>
  </si>
  <si>
    <t>Crédito mensal ICMS estoque</t>
  </si>
  <si>
    <t>Matriz | crédito efetivo histórico compras</t>
  </si>
  <si>
    <t>Crédito total PIS estoque</t>
  </si>
  <si>
    <t>Filial | faturamento cenário 1</t>
  </si>
  <si>
    <t>Crédito mensal PIS estoque</t>
  </si>
  <si>
    <t>Filial | faturamento cenário 2</t>
  </si>
  <si>
    <t>Crédito total Cofins estoque</t>
  </si>
  <si>
    <t>Filial | faturamento cenário 3</t>
  </si>
  <si>
    <t>Crédito mensal Cofins estoque</t>
  </si>
  <si>
    <t>Filial | compra p industrialização</t>
  </si>
  <si>
    <t>Crédito mensal federal total</t>
  </si>
  <si>
    <t>Filial | despesa média mensal</t>
  </si>
  <si>
    <t>Filial | ICMS benefício</t>
  </si>
  <si>
    <t>LP | PIS</t>
  </si>
  <si>
    <t>LP | Cofins</t>
  </si>
  <si>
    <t>LP | IPI sobre saída de móveis</t>
  </si>
  <si>
    <t>LP | base presumida IRPJ</t>
  </si>
  <si>
    <t>LP | base presumida CSLL</t>
  </si>
  <si>
    <t>LP | alíquota IRPJ</t>
  </si>
  <si>
    <t>LP | adicional IRPJ</t>
  </si>
  <si>
    <t>LP | limite mensal adicional IRPJ</t>
  </si>
  <si>
    <t>LP | alíquota CSLL</t>
  </si>
  <si>
    <t>Estoque atual</t>
  </si>
  <si>
    <t>Crédito ICMS estoque</t>
  </si>
  <si>
    <t>Crédito PIS estoque</t>
  </si>
  <si>
    <t>Crédito Cofins estoque</t>
  </si>
  <si>
    <t>Matriz | ICMS próprio e crédito mensal do estoque</t>
  </si>
  <si>
    <t>Linha</t>
  </si>
  <si>
    <t>Valor</t>
  </si>
  <si>
    <t>Obs</t>
  </si>
  <si>
    <t>Fonte</t>
  </si>
  <si>
    <t>Faturamento de saída</t>
  </si>
  <si>
    <t>Matriz da planilha de revenda</t>
  </si>
  <si>
    <t>ICMS débito da saída</t>
  </si>
  <si>
    <t>22% sobre a saída</t>
  </si>
  <si>
    <t>ICMS crédito histórico das compras</t>
  </si>
  <si>
    <t>Base compras x crédito histórico</t>
  </si>
  <si>
    <t>ICMS líquido antes do crédito do estoque</t>
  </si>
  <si>
    <t>Crédito mensal ICMS do estoque</t>
  </si>
  <si>
    <t>Fica na matriz</t>
  </si>
  <si>
    <t>ICMS líquido final da matriz</t>
  </si>
  <si>
    <t>Após abatimento mensal do estoque</t>
  </si>
  <si>
    <t>Saldo mensal de crédito ICMS não usado</t>
  </si>
  <si>
    <t>Crédito que sobra no mês</t>
  </si>
  <si>
    <t>Filial nova no benefício | ICMS sem crédito de estoque na filial</t>
  </si>
  <si>
    <t>200 mil</t>
  </si>
  <si>
    <t>250 mil</t>
  </si>
  <si>
    <t>300 mil</t>
  </si>
  <si>
    <t>Compra p industrialização</t>
  </si>
  <si>
    <t>15% da saída</t>
  </si>
  <si>
    <t>Despesa média mensal</t>
  </si>
  <si>
    <t>ICMS benefício 3%</t>
  </si>
  <si>
    <t>PIS bruto</t>
  </si>
  <si>
    <t>Cofins bruta</t>
  </si>
  <si>
    <t>IPI 3,25%</t>
  </si>
  <si>
    <t>IRPJ filial isolado apenas referência</t>
  </si>
  <si>
    <t>Só referência. Federal consolida em outra aba</t>
  </si>
  <si>
    <t>CSLL filial isolada apenas referência</t>
  </si>
  <si>
    <t>Federal consolidado | Matriz + Filial</t>
  </si>
  <si>
    <t>Receita total matriz + filial</t>
  </si>
  <si>
    <t>Matriz 100 mil + filial cenário</t>
  </si>
  <si>
    <t>PIS bruto consolidado</t>
  </si>
  <si>
    <t>Crédito mensal PIS do estoque</t>
  </si>
  <si>
    <t>Abate no federal consolidado</t>
  </si>
  <si>
    <t>PIS líquido consolidado</t>
  </si>
  <si>
    <t>Cofins bruta consolidada</t>
  </si>
  <si>
    <t>Crédito mensal Cofins do estoque</t>
  </si>
  <si>
    <t>Cofins líquida consolidada</t>
  </si>
  <si>
    <t>Base IRPJ consolidada</t>
  </si>
  <si>
    <t>Federal apurado junto</t>
  </si>
  <si>
    <t>IRPJ consolidado</t>
  </si>
  <si>
    <t>Base CSLL consolidada</t>
  </si>
  <si>
    <t>CSLL consolidada</t>
  </si>
  <si>
    <t>IPI da filial</t>
  </si>
  <si>
    <t>IPI permanece na filial</t>
  </si>
  <si>
    <t>Total federal líquido consolidado</t>
  </si>
  <si>
    <t>Dashboard consolidado | Matriz + Filial + Federal</t>
  </si>
  <si>
    <t>Leitura</t>
  </si>
  <si>
    <t>ICMS matriz líquido</t>
  </si>
  <si>
    <t>Mesmo cenário, matriz fixa em 100 mil</t>
  </si>
  <si>
    <t>ICMS do estoque fica somente na matriz</t>
  </si>
  <si>
    <t>ICMS filial benefício</t>
  </si>
  <si>
    <t>ICMS da filial não usa o crédito do estoque</t>
  </si>
  <si>
    <t>Federal líquido consolidado</t>
  </si>
  <si>
    <t>Federal já sai consolidado</t>
  </si>
  <si>
    <t>Carga tributária total</t>
  </si>
  <si>
    <t>Carga total pronta p dashboard</t>
  </si>
  <si>
    <t>Receita total grupo</t>
  </si>
  <si>
    <t>Alíquota efetiva total</t>
  </si>
  <si>
    <t>Sobre a receita total</t>
  </si>
  <si>
    <t>Resultado operacional grupo antes dos tributos</t>
  </si>
  <si>
    <t>Matriz sem despesa adicional na simulação</t>
  </si>
  <si>
    <t>Resultado após tributos</t>
  </si>
  <si>
    <t>Notas</t>
  </si>
  <si>
    <t>1. O crédito de ICMS do estoque foi deslocado integralmente para a matriz.</t>
  </si>
  <si>
    <t>2. A filial foi tratada como nova abertura no benefício, sem uso do crédito de ICMS do estoque.</t>
  </si>
  <si>
    <t>3. PIS, Cofins, IRPJ e CSLL foram consolidados em aba própria, conforme seu pedido.</t>
  </si>
  <si>
    <t>4. A matriz permanece com faturamento de 100 mil na simulação anterior.</t>
  </si>
  <si>
    <t>5. O dashboard já mostra a carga total do grupo por cenário.</t>
  </si>
  <si>
    <t>Meses de apropriação do crédito ICMS estimativa</t>
  </si>
  <si>
    <t xml:space="preserve">Meses de apropriação do crédito PIS E COFINS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</si>
</sst>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;[Red]\(\R\$\ 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DEB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3" borderId="1" xfId="0" applyNumberForma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3" borderId="0" xfId="0" applyNumberForma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64" fontId="0" fillId="7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7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5" x14ac:dyDescent="0.25"/>
  <cols>
    <col min="1" max="1" width="38" customWidth="1"/>
    <col min="2" max="2" width="16" customWidth="1"/>
    <col min="3" max="3" width="4" customWidth="1"/>
    <col min="4" max="4" width="30" customWidth="1"/>
    <col min="5" max="5" width="18" customWidth="1"/>
    <col min="6" max="6" width="4" customWidth="1"/>
  </cols>
  <sheetData>
    <row r="1" spans="1:6" x14ac:dyDescent="0.25">
      <c r="A1" s="14" t="s">
        <v>0</v>
      </c>
      <c r="B1" s="15"/>
      <c r="C1" s="15"/>
      <c r="D1" s="15"/>
      <c r="E1" s="15"/>
      <c r="F1" s="15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 t="s">
        <v>1</v>
      </c>
      <c r="B3" s="4">
        <v>100000</v>
      </c>
      <c r="C3" s="2"/>
      <c r="D3" s="5" t="s">
        <v>2</v>
      </c>
      <c r="E3" s="2"/>
      <c r="F3" s="2"/>
    </row>
    <row r="4" spans="1:6" x14ac:dyDescent="0.25">
      <c r="A4" s="3" t="s">
        <v>3</v>
      </c>
      <c r="B4" s="4">
        <v>80000</v>
      </c>
      <c r="C4" s="2"/>
      <c r="D4" s="3" t="s">
        <v>4</v>
      </c>
      <c r="E4" s="6">
        <f>B22*B23</f>
        <v>210164.42879999997</v>
      </c>
      <c r="F4" s="2"/>
    </row>
    <row r="5" spans="1:6" x14ac:dyDescent="0.25">
      <c r="A5" s="3" t="s">
        <v>5</v>
      </c>
      <c r="B5" s="7">
        <v>0.22</v>
      </c>
      <c r="C5" s="2"/>
      <c r="D5" s="3" t="s">
        <v>6</v>
      </c>
      <c r="E5" s="6">
        <f>E4/B26</f>
        <v>35027.404799999997</v>
      </c>
      <c r="F5" s="2"/>
    </row>
    <row r="6" spans="1:6" ht="30" x14ac:dyDescent="0.25">
      <c r="A6" s="3" t="s">
        <v>7</v>
      </c>
      <c r="B6" s="7">
        <v>9.8117120861948223E-2</v>
      </c>
      <c r="C6" s="2"/>
      <c r="D6" s="3" t="s">
        <v>8</v>
      </c>
      <c r="E6" s="6">
        <f>B22*B24</f>
        <v>15178.542079999997</v>
      </c>
      <c r="F6" s="2"/>
    </row>
    <row r="7" spans="1:6" x14ac:dyDescent="0.25">
      <c r="A7" s="3" t="s">
        <v>9</v>
      </c>
      <c r="B7" s="4">
        <v>200000</v>
      </c>
      <c r="C7" s="2"/>
      <c r="D7" s="17" t="s">
        <v>10</v>
      </c>
      <c r="E7" s="18">
        <f>E6/B27</f>
        <v>1264.8785066666665</v>
      </c>
      <c r="F7" s="2"/>
    </row>
    <row r="8" spans="1:6" x14ac:dyDescent="0.25">
      <c r="A8" s="3" t="s">
        <v>11</v>
      </c>
      <c r="B8" s="4">
        <v>250000</v>
      </c>
      <c r="C8" s="2"/>
      <c r="D8" s="3" t="s">
        <v>12</v>
      </c>
      <c r="E8" s="6">
        <f>B22*B25</f>
        <v>70054.809599999993</v>
      </c>
      <c r="F8" s="2"/>
    </row>
    <row r="9" spans="1:6" x14ac:dyDescent="0.25">
      <c r="A9" s="3" t="s">
        <v>13</v>
      </c>
      <c r="B9" s="4">
        <v>300000</v>
      </c>
      <c r="C9" s="2"/>
      <c r="D9" s="17" t="s">
        <v>14</v>
      </c>
      <c r="E9" s="18">
        <f>E8/B27</f>
        <v>5837.9007999999994</v>
      </c>
      <c r="F9" s="2"/>
    </row>
    <row r="10" spans="1:6" x14ac:dyDescent="0.25">
      <c r="A10" s="3" t="s">
        <v>15</v>
      </c>
      <c r="B10" s="7">
        <v>0.15</v>
      </c>
      <c r="C10" s="2"/>
      <c r="D10" s="8" t="s">
        <v>16</v>
      </c>
      <c r="E10" s="9">
        <f>SUM(G5,E7,E9)</f>
        <v>7102.7793066666654</v>
      </c>
      <c r="F10" s="2"/>
    </row>
    <row r="11" spans="1:6" x14ac:dyDescent="0.25">
      <c r="A11" s="3" t="s">
        <v>17</v>
      </c>
      <c r="B11" s="4">
        <v>280000</v>
      </c>
      <c r="C11" s="2"/>
      <c r="D11" s="2"/>
      <c r="E11" s="2"/>
      <c r="F11" s="2"/>
    </row>
    <row r="12" spans="1:6" x14ac:dyDescent="0.25">
      <c r="A12" s="3" t="s">
        <v>18</v>
      </c>
      <c r="B12" s="7">
        <v>0.03</v>
      </c>
      <c r="C12" s="2"/>
      <c r="D12" s="2"/>
      <c r="E12" s="2"/>
      <c r="F12" s="2"/>
    </row>
    <row r="13" spans="1:6" x14ac:dyDescent="0.25">
      <c r="A13" s="3" t="s">
        <v>19</v>
      </c>
      <c r="B13" s="7">
        <v>6.4999999999999997E-3</v>
      </c>
      <c r="C13" s="2"/>
      <c r="D13" s="2"/>
      <c r="E13" s="2"/>
      <c r="F13" s="2"/>
    </row>
    <row r="14" spans="1:6" x14ac:dyDescent="0.25">
      <c r="A14" s="3" t="s">
        <v>20</v>
      </c>
      <c r="B14" s="7">
        <v>0.03</v>
      </c>
      <c r="C14" s="2"/>
      <c r="D14" s="2"/>
      <c r="E14" s="2"/>
      <c r="F14" s="2"/>
    </row>
    <row r="15" spans="1:6" x14ac:dyDescent="0.25">
      <c r="A15" s="3" t="s">
        <v>21</v>
      </c>
      <c r="B15" s="7">
        <v>3.2500000000000001E-2</v>
      </c>
      <c r="C15" s="2"/>
      <c r="D15" s="2"/>
      <c r="E15" s="2"/>
      <c r="F15" s="2"/>
    </row>
    <row r="16" spans="1:6" x14ac:dyDescent="0.25">
      <c r="A16" s="3" t="s">
        <v>22</v>
      </c>
      <c r="B16" s="7">
        <v>0.08</v>
      </c>
      <c r="C16" s="2"/>
      <c r="D16" s="2"/>
      <c r="E16" s="2"/>
      <c r="F16" s="2"/>
    </row>
    <row r="17" spans="1:6" x14ac:dyDescent="0.25">
      <c r="A17" s="3" t="s">
        <v>23</v>
      </c>
      <c r="B17" s="7">
        <v>0.12</v>
      </c>
      <c r="C17" s="2"/>
      <c r="D17" s="2"/>
      <c r="E17" s="2"/>
      <c r="F17" s="2"/>
    </row>
    <row r="18" spans="1:6" x14ac:dyDescent="0.25">
      <c r="A18" s="3" t="s">
        <v>24</v>
      </c>
      <c r="B18" s="7">
        <v>0.15</v>
      </c>
      <c r="C18" s="2"/>
      <c r="D18" s="2"/>
      <c r="E18" s="2"/>
      <c r="F18" s="2"/>
    </row>
    <row r="19" spans="1:6" x14ac:dyDescent="0.25">
      <c r="A19" s="3" t="s">
        <v>25</v>
      </c>
      <c r="B19" s="7">
        <v>0.1</v>
      </c>
      <c r="C19" s="2"/>
      <c r="D19" s="2"/>
      <c r="E19" s="2"/>
      <c r="F19" s="2"/>
    </row>
    <row r="20" spans="1:6" x14ac:dyDescent="0.25">
      <c r="A20" s="3" t="s">
        <v>26</v>
      </c>
      <c r="B20" s="4">
        <v>20000</v>
      </c>
      <c r="C20" s="2"/>
      <c r="D20" s="2"/>
      <c r="E20" s="2"/>
      <c r="F20" s="2"/>
    </row>
    <row r="21" spans="1:6" x14ac:dyDescent="0.25">
      <c r="A21" s="3" t="s">
        <v>27</v>
      </c>
      <c r="B21" s="7">
        <v>0.09</v>
      </c>
      <c r="C21" s="2"/>
      <c r="D21" s="2"/>
      <c r="E21" s="2"/>
      <c r="F21" s="2"/>
    </row>
    <row r="22" spans="1:6" x14ac:dyDescent="0.25">
      <c r="A22" s="3" t="s">
        <v>28</v>
      </c>
      <c r="B22" s="4">
        <v>2335160.3199999998</v>
      </c>
      <c r="C22" s="2"/>
      <c r="D22" s="2"/>
      <c r="E22" s="2"/>
      <c r="F22" s="2"/>
    </row>
    <row r="23" spans="1:6" x14ac:dyDescent="0.25">
      <c r="A23" s="3" t="s">
        <v>29</v>
      </c>
      <c r="B23" s="7">
        <v>0.09</v>
      </c>
      <c r="C23" s="2"/>
      <c r="D23" s="2"/>
      <c r="E23" s="2"/>
      <c r="F23" s="2"/>
    </row>
    <row r="24" spans="1:6" x14ac:dyDescent="0.25">
      <c r="A24" s="3" t="s">
        <v>30</v>
      </c>
      <c r="B24" s="7">
        <v>6.4999999999999997E-3</v>
      </c>
      <c r="C24" s="2"/>
      <c r="D24" s="2"/>
      <c r="E24" s="2"/>
      <c r="F24" s="2"/>
    </row>
    <row r="25" spans="1:6" x14ac:dyDescent="0.25">
      <c r="A25" s="3" t="s">
        <v>31</v>
      </c>
      <c r="B25" s="7">
        <v>0.03</v>
      </c>
      <c r="C25" s="2"/>
      <c r="D25" s="2"/>
      <c r="E25" s="2"/>
      <c r="F25" s="2"/>
    </row>
    <row r="26" spans="1:6" ht="30" x14ac:dyDescent="0.25">
      <c r="A26" s="3" t="s">
        <v>105</v>
      </c>
      <c r="B26" s="10">
        <v>6</v>
      </c>
      <c r="C26" s="2"/>
      <c r="D26" s="2"/>
      <c r="E26" s="2"/>
      <c r="F26" s="2"/>
    </row>
    <row r="27" spans="1:6" ht="30" x14ac:dyDescent="0.25">
      <c r="A27" s="3" t="s">
        <v>106</v>
      </c>
      <c r="B27" s="16">
        <v>12</v>
      </c>
    </row>
  </sheetData>
  <mergeCells count="1">
    <mergeCell ref="A1:F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3" topLeftCell="A4" activePane="bottomLeft" state="frozen"/>
      <selection pane="bottomLeft" activeCell="B14" sqref="B14"/>
    </sheetView>
  </sheetViews>
  <sheetFormatPr defaultRowHeight="15" x14ac:dyDescent="0.25"/>
  <cols>
    <col min="1" max="1" width="34" customWidth="1"/>
    <col min="2" max="2" width="18.42578125" customWidth="1"/>
    <col min="3" max="3" width="28" customWidth="1"/>
    <col min="4" max="4" width="18" customWidth="1"/>
  </cols>
  <sheetData>
    <row r="1" spans="1:4" x14ac:dyDescent="0.25">
      <c r="A1" s="14" t="s">
        <v>32</v>
      </c>
      <c r="B1" s="15"/>
      <c r="C1" s="15"/>
      <c r="D1" s="15"/>
    </row>
    <row r="2" spans="1:4" x14ac:dyDescent="0.25">
      <c r="A2" s="2"/>
      <c r="B2" s="2"/>
      <c r="C2" s="2"/>
      <c r="D2" s="2"/>
    </row>
    <row r="3" spans="1:4" x14ac:dyDescent="0.25">
      <c r="A3" s="5" t="s">
        <v>33</v>
      </c>
      <c r="B3" s="5" t="s">
        <v>34</v>
      </c>
      <c r="C3" s="5" t="s">
        <v>35</v>
      </c>
      <c r="D3" s="5" t="s">
        <v>36</v>
      </c>
    </row>
    <row r="4" spans="1:4" x14ac:dyDescent="0.25">
      <c r="A4" s="3" t="s">
        <v>37</v>
      </c>
      <c r="B4" s="6">
        <f>Premissas!B3</f>
        <v>100000</v>
      </c>
      <c r="C4" s="2" t="s">
        <v>38</v>
      </c>
      <c r="D4" s="2"/>
    </row>
    <row r="5" spans="1:4" x14ac:dyDescent="0.25">
      <c r="A5" s="3" t="s">
        <v>39</v>
      </c>
      <c r="B5" s="6">
        <f>B4*Premissas!B5</f>
        <v>22000</v>
      </c>
      <c r="C5" s="2" t="s">
        <v>40</v>
      </c>
      <c r="D5" s="2"/>
    </row>
    <row r="6" spans="1:4" ht="30" x14ac:dyDescent="0.25">
      <c r="A6" s="3" t="s">
        <v>41</v>
      </c>
      <c r="B6" s="6">
        <f>Premissas!B4*Premissas!B6</f>
        <v>7849.3696689558583</v>
      </c>
      <c r="C6" s="2" t="s">
        <v>42</v>
      </c>
      <c r="D6" s="2"/>
    </row>
    <row r="7" spans="1:4" ht="30" x14ac:dyDescent="0.25">
      <c r="A7" s="3" t="s">
        <v>43</v>
      </c>
      <c r="B7" s="6">
        <f>B5-B6</f>
        <v>14150.630331044142</v>
      </c>
      <c r="C7" s="2"/>
      <c r="D7" s="2"/>
    </row>
    <row r="8" spans="1:4" x14ac:dyDescent="0.25">
      <c r="A8" s="3" t="s">
        <v>44</v>
      </c>
      <c r="B8" s="6">
        <f>Premissas!E5</f>
        <v>35027.404799999997</v>
      </c>
      <c r="C8" s="2" t="s">
        <v>45</v>
      </c>
      <c r="D8" s="2"/>
    </row>
    <row r="9" spans="1:4" ht="30" x14ac:dyDescent="0.25">
      <c r="A9" s="8" t="s">
        <v>46</v>
      </c>
      <c r="B9" s="9">
        <f>MAX(0,B7-B8)</f>
        <v>0</v>
      </c>
      <c r="C9" s="2" t="s">
        <v>47</v>
      </c>
      <c r="D9" s="2"/>
    </row>
    <row r="10" spans="1:4" ht="30" x14ac:dyDescent="0.25">
      <c r="A10" s="8" t="s">
        <v>48</v>
      </c>
      <c r="B10" s="9">
        <f>MAX(0,B8-B7)</f>
        <v>20876.774468955853</v>
      </c>
      <c r="C10" s="2" t="s">
        <v>49</v>
      </c>
      <c r="D10" s="2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34" customWidth="1"/>
    <col min="2" max="4" width="16" customWidth="1"/>
    <col min="5" max="5" width="34" customWidth="1"/>
  </cols>
  <sheetData>
    <row r="1" spans="1:5" x14ac:dyDescent="0.25">
      <c r="A1" s="14" t="s">
        <v>50</v>
      </c>
      <c r="B1" s="15"/>
      <c r="C1" s="15"/>
      <c r="D1" s="15"/>
      <c r="E1" s="15"/>
    </row>
    <row r="2" spans="1:5" x14ac:dyDescent="0.25">
      <c r="A2" s="2"/>
      <c r="B2" s="2"/>
      <c r="C2" s="2"/>
      <c r="D2" s="2"/>
      <c r="E2" s="2"/>
    </row>
    <row r="3" spans="1:5" x14ac:dyDescent="0.25">
      <c r="A3" s="5" t="s">
        <v>33</v>
      </c>
      <c r="B3" s="5" t="s">
        <v>51</v>
      </c>
      <c r="C3" s="5" t="s">
        <v>52</v>
      </c>
      <c r="D3" s="5" t="s">
        <v>53</v>
      </c>
      <c r="E3" s="5" t="s">
        <v>35</v>
      </c>
    </row>
    <row r="4" spans="1:5" x14ac:dyDescent="0.25">
      <c r="A4" s="3" t="s">
        <v>37</v>
      </c>
      <c r="B4" s="6">
        <f>Premissas!B7</f>
        <v>200000</v>
      </c>
      <c r="C4" s="6">
        <f>Premissas!B8</f>
        <v>250000</v>
      </c>
      <c r="D4" s="6">
        <f>Premissas!B9</f>
        <v>300000</v>
      </c>
      <c r="E4" s="2"/>
    </row>
    <row r="5" spans="1:5" x14ac:dyDescent="0.25">
      <c r="A5" s="3" t="s">
        <v>54</v>
      </c>
      <c r="B5" s="6">
        <f>B4*Premissas!B10</f>
        <v>30000</v>
      </c>
      <c r="C5" s="6">
        <f>C4*Premissas!B10</f>
        <v>37500</v>
      </c>
      <c r="D5" s="6">
        <f>D4*Premissas!B10</f>
        <v>45000</v>
      </c>
      <c r="E5" s="2" t="s">
        <v>55</v>
      </c>
    </row>
    <row r="6" spans="1:5" x14ac:dyDescent="0.25">
      <c r="A6" s="3" t="s">
        <v>56</v>
      </c>
      <c r="B6" s="6">
        <f>Premissas!B11</f>
        <v>280000</v>
      </c>
      <c r="C6" s="6">
        <f>Premissas!B11</f>
        <v>280000</v>
      </c>
      <c r="D6" s="6">
        <f>Premissas!B11</f>
        <v>280000</v>
      </c>
      <c r="E6" s="2"/>
    </row>
    <row r="7" spans="1:5" x14ac:dyDescent="0.25">
      <c r="A7" s="3" t="s">
        <v>57</v>
      </c>
      <c r="B7" s="6">
        <f>B4*Premissas!B12</f>
        <v>6000</v>
      </c>
      <c r="C7" s="6">
        <f>C4*Premissas!B12</f>
        <v>7500</v>
      </c>
      <c r="D7" s="6">
        <f>D4*Premissas!B12</f>
        <v>9000</v>
      </c>
      <c r="E7" s="2"/>
    </row>
    <row r="8" spans="1:5" x14ac:dyDescent="0.25">
      <c r="A8" s="3" t="s">
        <v>58</v>
      </c>
      <c r="B8" s="6">
        <f>B4*Premissas!B13</f>
        <v>1300</v>
      </c>
      <c r="C8" s="6">
        <f>C4*Premissas!B13</f>
        <v>1625</v>
      </c>
      <c r="D8" s="6">
        <f>D4*Premissas!B13</f>
        <v>1950</v>
      </c>
      <c r="E8" s="2"/>
    </row>
    <row r="9" spans="1:5" x14ac:dyDescent="0.25">
      <c r="A9" s="3" t="s">
        <v>59</v>
      </c>
      <c r="B9" s="6">
        <f>B4*Premissas!B14</f>
        <v>6000</v>
      </c>
      <c r="C9" s="6">
        <f>C4*Premissas!B14</f>
        <v>7500</v>
      </c>
      <c r="D9" s="6">
        <f>D4*Premissas!B14</f>
        <v>9000</v>
      </c>
      <c r="E9" s="2"/>
    </row>
    <row r="10" spans="1:5" x14ac:dyDescent="0.25">
      <c r="A10" s="3" t="s">
        <v>60</v>
      </c>
      <c r="B10" s="6">
        <f>B4*Premissas!B15</f>
        <v>6500</v>
      </c>
      <c r="C10" s="6">
        <f>C4*Premissas!B15</f>
        <v>8125</v>
      </c>
      <c r="D10" s="6">
        <f>D4*Premissas!B15</f>
        <v>9750</v>
      </c>
      <c r="E10" s="2"/>
    </row>
    <row r="11" spans="1:5" ht="30" x14ac:dyDescent="0.25">
      <c r="A11" s="3" t="s">
        <v>61</v>
      </c>
      <c r="B11" s="6">
        <f>B4*Premissas!B16*Premissas!B18+MAX(0,B4*Premissas!B16-Premissas!B20)*Premissas!B19</f>
        <v>2400</v>
      </c>
      <c r="C11" s="6">
        <f>C4*Premissas!B16*Premissas!B18+MAX(0,C4*Premissas!B16-Premissas!B20)*Premissas!B19</f>
        <v>3000</v>
      </c>
      <c r="D11" s="6">
        <f>D4*Premissas!B16*Premissas!B18+MAX(0,D4*Premissas!B16-Premissas!B20)*Premissas!B19</f>
        <v>4000</v>
      </c>
      <c r="E11" s="2" t="s">
        <v>62</v>
      </c>
    </row>
    <row r="12" spans="1:5" ht="30" x14ac:dyDescent="0.25">
      <c r="A12" s="3" t="s">
        <v>63</v>
      </c>
      <c r="B12" s="6">
        <f>B4*Premissas!B17*Premissas!B21</f>
        <v>2160</v>
      </c>
      <c r="C12" s="6">
        <f>C4*Premissas!B17*Premissas!B21</f>
        <v>2700</v>
      </c>
      <c r="D12" s="6">
        <f>D4*Premissas!B17*Premissas!B21</f>
        <v>3240</v>
      </c>
      <c r="E12" s="2" t="s">
        <v>62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4" customWidth="1"/>
    <col min="2" max="2" width="21.5703125" customWidth="1"/>
    <col min="3" max="3" width="20.140625" customWidth="1"/>
    <col min="4" max="4" width="19" customWidth="1"/>
    <col min="5" max="5" width="28" customWidth="1"/>
    <col min="6" max="6" width="18" customWidth="1"/>
  </cols>
  <sheetData>
    <row r="1" spans="1:6" x14ac:dyDescent="0.25">
      <c r="A1" s="14" t="s">
        <v>64</v>
      </c>
      <c r="B1" s="15"/>
      <c r="C1" s="15"/>
      <c r="D1" s="15"/>
      <c r="E1" s="15"/>
      <c r="F1" s="15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5" t="s">
        <v>33</v>
      </c>
      <c r="B3" s="5" t="s">
        <v>51</v>
      </c>
      <c r="C3" s="5" t="s">
        <v>52</v>
      </c>
      <c r="D3" s="5" t="s">
        <v>53</v>
      </c>
      <c r="E3" s="5" t="s">
        <v>35</v>
      </c>
      <c r="F3" s="5" t="s">
        <v>36</v>
      </c>
    </row>
    <row r="4" spans="1:6" x14ac:dyDescent="0.25">
      <c r="A4" s="3" t="s">
        <v>65</v>
      </c>
      <c r="B4" s="6">
        <f>Premissas!B3+Premissas!B7</f>
        <v>300000</v>
      </c>
      <c r="C4" s="6">
        <f>Premissas!B3+Premissas!B8</f>
        <v>350000</v>
      </c>
      <c r="D4" s="6">
        <f>Premissas!B3+Premissas!B9</f>
        <v>400000</v>
      </c>
      <c r="E4" s="2" t="s">
        <v>66</v>
      </c>
      <c r="F4" s="2"/>
    </row>
    <row r="5" spans="1:6" x14ac:dyDescent="0.25">
      <c r="A5" s="3" t="s">
        <v>67</v>
      </c>
      <c r="B5" s="6">
        <f>B4*Premissas!B13</f>
        <v>1950</v>
      </c>
      <c r="C5" s="6">
        <f>C4*Premissas!B13</f>
        <v>2275</v>
      </c>
      <c r="D5" s="6">
        <f>D4*Premissas!B13</f>
        <v>2600</v>
      </c>
      <c r="E5" s="2"/>
      <c r="F5" s="2"/>
    </row>
    <row r="6" spans="1:6" x14ac:dyDescent="0.25">
      <c r="A6" s="3" t="s">
        <v>68</v>
      </c>
      <c r="B6" s="6">
        <f>Premissas!E7</f>
        <v>1264.8785066666665</v>
      </c>
      <c r="C6" s="6">
        <f>Premissas!E7</f>
        <v>1264.8785066666665</v>
      </c>
      <c r="D6" s="6">
        <f>Premissas!E7</f>
        <v>1264.8785066666665</v>
      </c>
      <c r="E6" s="2" t="s">
        <v>69</v>
      </c>
      <c r="F6" s="2"/>
    </row>
    <row r="7" spans="1:6" x14ac:dyDescent="0.25">
      <c r="A7" s="11" t="s">
        <v>70</v>
      </c>
      <c r="B7" s="12">
        <f>MAX(0,B5-B6)</f>
        <v>685.12149333333355</v>
      </c>
      <c r="C7" s="12">
        <f>MAX(0,C5-C6)</f>
        <v>1010.1214933333335</v>
      </c>
      <c r="D7" s="12">
        <f>MAX(0,D5-D6)</f>
        <v>1335.1214933333335</v>
      </c>
      <c r="E7" s="2"/>
      <c r="F7" s="2"/>
    </row>
    <row r="8" spans="1:6" x14ac:dyDescent="0.25">
      <c r="A8" s="3" t="s">
        <v>71</v>
      </c>
      <c r="B8" s="6">
        <f>B4*Premissas!B14</f>
        <v>9000</v>
      </c>
      <c r="C8" s="6">
        <f>C4*Premissas!B14</f>
        <v>10500</v>
      </c>
      <c r="D8" s="6">
        <f>D4*Premissas!B14</f>
        <v>12000</v>
      </c>
      <c r="E8" s="2"/>
      <c r="F8" s="2"/>
    </row>
    <row r="9" spans="1:6" x14ac:dyDescent="0.25">
      <c r="A9" s="3" t="s">
        <v>72</v>
      </c>
      <c r="B9" s="6">
        <f>Premissas!E9</f>
        <v>5837.9007999999994</v>
      </c>
      <c r="C9" s="6">
        <f>Premissas!E9</f>
        <v>5837.9007999999994</v>
      </c>
      <c r="D9" s="6">
        <f>Premissas!E9</f>
        <v>5837.9007999999994</v>
      </c>
      <c r="E9" s="2" t="s">
        <v>69</v>
      </c>
      <c r="F9" s="2"/>
    </row>
    <row r="10" spans="1:6" x14ac:dyDescent="0.25">
      <c r="A10" s="11" t="s">
        <v>73</v>
      </c>
      <c r="B10" s="12">
        <f>MAX(0,B8-B9)</f>
        <v>3162.0992000000006</v>
      </c>
      <c r="C10" s="12">
        <f>MAX(0,C8-C9)</f>
        <v>4662.0992000000006</v>
      </c>
      <c r="D10" s="12">
        <f>MAX(0,D8-D9)</f>
        <v>6162.0992000000006</v>
      </c>
      <c r="E10" s="2"/>
      <c r="F10" s="2"/>
    </row>
    <row r="11" spans="1:6" x14ac:dyDescent="0.25">
      <c r="A11" s="3" t="s">
        <v>74</v>
      </c>
      <c r="B11" s="6">
        <f>B4*Premissas!B16</f>
        <v>24000</v>
      </c>
      <c r="C11" s="6">
        <f>C4*Premissas!B16</f>
        <v>28000</v>
      </c>
      <c r="D11" s="6">
        <f>D4*Premissas!B16</f>
        <v>32000</v>
      </c>
      <c r="E11" s="2" t="s">
        <v>75</v>
      </c>
      <c r="F11" s="2"/>
    </row>
    <row r="12" spans="1:6" x14ac:dyDescent="0.25">
      <c r="A12" s="11" t="s">
        <v>76</v>
      </c>
      <c r="B12" s="12">
        <f>B11*Premissas!B18+MAX(0,B11-Premissas!B20)*Premissas!B19</f>
        <v>4000</v>
      </c>
      <c r="C12" s="12">
        <f>C11*Premissas!B18+MAX(0,C11-Premissas!B20)*Premissas!B19</f>
        <v>5000</v>
      </c>
      <c r="D12" s="12">
        <f>D11*Premissas!B18+MAX(0,D11-Premissas!B20)*Premissas!B19</f>
        <v>6000</v>
      </c>
      <c r="E12" s="2"/>
      <c r="F12" s="2"/>
    </row>
    <row r="13" spans="1:6" x14ac:dyDescent="0.25">
      <c r="A13" s="3" t="s">
        <v>77</v>
      </c>
      <c r="B13" s="6">
        <f>B4*Premissas!B17</f>
        <v>36000</v>
      </c>
      <c r="C13" s="6">
        <f>C4*Premissas!B17</f>
        <v>42000</v>
      </c>
      <c r="D13" s="6">
        <f>D4*Premissas!B17</f>
        <v>48000</v>
      </c>
      <c r="E13" s="2"/>
      <c r="F13" s="2"/>
    </row>
    <row r="14" spans="1:6" x14ac:dyDescent="0.25">
      <c r="A14" s="3" t="s">
        <v>78</v>
      </c>
      <c r="B14" s="6">
        <f>B13*Premissas!B21</f>
        <v>3240</v>
      </c>
      <c r="C14" s="6">
        <f>C13*Premissas!B21</f>
        <v>3780</v>
      </c>
      <c r="D14" s="6">
        <f>D13*Premissas!B21</f>
        <v>4320</v>
      </c>
      <c r="E14" s="2"/>
      <c r="F14" s="2"/>
    </row>
    <row r="15" spans="1:6" x14ac:dyDescent="0.25">
      <c r="A15" s="11" t="s">
        <v>79</v>
      </c>
      <c r="B15" s="12">
        <f>Filial_LP!B10</f>
        <v>6500</v>
      </c>
      <c r="C15" s="12">
        <f>Filial_LP!C10</f>
        <v>8125</v>
      </c>
      <c r="D15" s="12">
        <f>Filial_LP!D10</f>
        <v>9750</v>
      </c>
      <c r="E15" s="2" t="s">
        <v>80</v>
      </c>
      <c r="F15" s="2"/>
    </row>
    <row r="16" spans="1:6" x14ac:dyDescent="0.25">
      <c r="A16" s="8" t="s">
        <v>81</v>
      </c>
      <c r="B16" s="9">
        <f>SUM(B7,B10,B12,B14,B15)</f>
        <v>17587.220693333336</v>
      </c>
      <c r="C16" s="9">
        <f>SUM(C7,C10,C12,C14,C15)</f>
        <v>22577.220693333336</v>
      </c>
      <c r="D16" s="9">
        <f>SUM(D7,D10,D12,D14,D15)</f>
        <v>27567.220693333336</v>
      </c>
      <c r="E16" s="2"/>
      <c r="F16" s="2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34" customWidth="1"/>
    <col min="2" max="4" width="16" customWidth="1"/>
    <col min="5" max="5" width="28" customWidth="1"/>
    <col min="6" max="6" width="26" customWidth="1"/>
  </cols>
  <sheetData>
    <row r="1" spans="1:6" x14ac:dyDescent="0.25">
      <c r="A1" s="14" t="s">
        <v>82</v>
      </c>
      <c r="B1" s="15"/>
      <c r="C1" s="15"/>
      <c r="D1" s="15"/>
      <c r="E1" s="15"/>
      <c r="F1" s="15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5" t="s">
        <v>33</v>
      </c>
      <c r="B3" s="5" t="s">
        <v>51</v>
      </c>
      <c r="C3" s="5" t="s">
        <v>52</v>
      </c>
      <c r="D3" s="5" t="s">
        <v>53</v>
      </c>
      <c r="E3" s="5" t="s">
        <v>35</v>
      </c>
      <c r="F3" s="5" t="s">
        <v>83</v>
      </c>
    </row>
    <row r="4" spans="1:6" ht="30" x14ac:dyDescent="0.25">
      <c r="A4" s="3" t="s">
        <v>84</v>
      </c>
      <c r="B4" s="6">
        <f>Matriz_ICMS!B9</f>
        <v>0</v>
      </c>
      <c r="C4" s="6">
        <f>Matriz_ICMS!B9</f>
        <v>0</v>
      </c>
      <c r="D4" s="6">
        <f>Matriz_ICMS!B9</f>
        <v>0</v>
      </c>
      <c r="E4" s="2" t="s">
        <v>85</v>
      </c>
      <c r="F4" s="2" t="s">
        <v>86</v>
      </c>
    </row>
    <row r="5" spans="1:6" ht="30" x14ac:dyDescent="0.25">
      <c r="A5" s="3" t="s">
        <v>87</v>
      </c>
      <c r="B5" s="6">
        <f>Filial_LP!B7</f>
        <v>6000</v>
      </c>
      <c r="C5" s="6">
        <f>Filial_LP!C7</f>
        <v>7500</v>
      </c>
      <c r="D5" s="6">
        <f>Filial_LP!D7</f>
        <v>9000</v>
      </c>
      <c r="E5" s="2"/>
      <c r="F5" s="2" t="s">
        <v>88</v>
      </c>
    </row>
    <row r="6" spans="1:6" x14ac:dyDescent="0.25">
      <c r="A6" s="3" t="s">
        <v>89</v>
      </c>
      <c r="B6" s="6">
        <f>Federal_Consolidado!B16</f>
        <v>17587.220693333336</v>
      </c>
      <c r="C6" s="6">
        <f>Federal_Consolidado!C16</f>
        <v>22577.220693333336</v>
      </c>
      <c r="D6" s="6">
        <f>Federal_Consolidado!D16</f>
        <v>27567.220693333336</v>
      </c>
      <c r="E6" s="2"/>
      <c r="F6" s="2" t="s">
        <v>90</v>
      </c>
    </row>
    <row r="7" spans="1:6" ht="30" x14ac:dyDescent="0.25">
      <c r="A7" s="8" t="s">
        <v>91</v>
      </c>
      <c r="B7" s="9">
        <f>SUM(B4:B6)</f>
        <v>23587.220693333336</v>
      </c>
      <c r="C7" s="9">
        <f>SUM(C4:C6)</f>
        <v>30077.220693333336</v>
      </c>
      <c r="D7" s="9">
        <f>SUM(D4:D6)</f>
        <v>36567.220693333336</v>
      </c>
      <c r="E7" s="2"/>
      <c r="F7" s="2" t="s">
        <v>92</v>
      </c>
    </row>
    <row r="8" spans="1:6" x14ac:dyDescent="0.25">
      <c r="A8" s="8" t="s">
        <v>93</v>
      </c>
      <c r="B8" s="9">
        <f>Federal_Consolidado!B4</f>
        <v>300000</v>
      </c>
      <c r="C8" s="9">
        <f>Federal_Consolidado!C4</f>
        <v>350000</v>
      </c>
      <c r="D8" s="9">
        <f>Federal_Consolidado!D4</f>
        <v>400000</v>
      </c>
      <c r="E8" s="2"/>
      <c r="F8" s="2"/>
    </row>
    <row r="9" spans="1:6" x14ac:dyDescent="0.25">
      <c r="A9" s="3" t="s">
        <v>94</v>
      </c>
      <c r="B9" s="13">
        <f>IFERROR(B7/B8,0)</f>
        <v>7.8624068977777795E-2</v>
      </c>
      <c r="C9" s="13">
        <f>IFERROR(C7/C8,0)</f>
        <v>8.5934916266666675E-2</v>
      </c>
      <c r="D9" s="13">
        <f>IFERROR(D7/D8,0)</f>
        <v>9.1418051733333339E-2</v>
      </c>
      <c r="E9" s="2" t="s">
        <v>95</v>
      </c>
      <c r="F9" s="2"/>
    </row>
    <row r="10" spans="1:6" ht="30" hidden="1" x14ac:dyDescent="0.25">
      <c r="A10" s="11" t="s">
        <v>96</v>
      </c>
      <c r="B10" s="12">
        <f>Premissas!B3+Premissas!B7-(Filial_LP!B5+Premissas!B11)</f>
        <v>-10000</v>
      </c>
      <c r="C10" s="12">
        <f>Premissas!B3+Premissas!B8-(Filial_LP!C5+Premissas!B11)</f>
        <v>32500</v>
      </c>
      <c r="D10" s="12">
        <f>Premissas!B3+Premissas!B9-(Filial_LP!D5+Premissas!B11)</f>
        <v>75000</v>
      </c>
      <c r="E10" s="2" t="s">
        <v>97</v>
      </c>
      <c r="F10" s="2"/>
    </row>
    <row r="11" spans="1:6" hidden="1" x14ac:dyDescent="0.25">
      <c r="A11" s="11" t="s">
        <v>98</v>
      </c>
      <c r="B11" s="12">
        <f>B9-B7</f>
        <v>-23587.142069264359</v>
      </c>
      <c r="C11" s="12">
        <f>C9-C7</f>
        <v>-30077.134758417069</v>
      </c>
      <c r="D11" s="12">
        <f>D9-D7</f>
        <v>-36567.129275281601</v>
      </c>
      <c r="E11" s="2"/>
      <c r="F11" s="2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0" customWidth="1"/>
  </cols>
  <sheetData>
    <row r="1" spans="1:1" x14ac:dyDescent="0.25">
      <c r="A1" s="1" t="s">
        <v>99</v>
      </c>
    </row>
    <row r="2" spans="1:1" x14ac:dyDescent="0.25">
      <c r="A2" s="2"/>
    </row>
    <row r="3" spans="1:1" x14ac:dyDescent="0.25">
      <c r="A3" s="2" t="s">
        <v>100</v>
      </c>
    </row>
    <row r="4" spans="1:1" x14ac:dyDescent="0.25">
      <c r="A4" s="2" t="s">
        <v>101</v>
      </c>
    </row>
    <row r="5" spans="1:1" x14ac:dyDescent="0.25">
      <c r="A5" s="2" t="s">
        <v>102</v>
      </c>
    </row>
    <row r="6" spans="1:1" x14ac:dyDescent="0.25">
      <c r="A6" s="2" t="s">
        <v>103</v>
      </c>
    </row>
    <row r="7" spans="1:1" x14ac:dyDescent="0.25">
      <c r="A7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</vt:lpstr>
      <vt:lpstr>Matriz_ICMS</vt:lpstr>
      <vt:lpstr>Filial_LP</vt:lpstr>
      <vt:lpstr>Federal_Consolidado</vt:lpstr>
      <vt:lpstr>Dashboard</vt:lpstr>
      <vt:lpstr>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Jéssica Amaduro de Mello</cp:lastModifiedBy>
  <dcterms:created xsi:type="dcterms:W3CDTF">2026-03-12T12:23:23Z</dcterms:created>
  <dcterms:modified xsi:type="dcterms:W3CDTF">2026-03-12T12:36:49Z</dcterms:modified>
</cp:coreProperties>
</file>