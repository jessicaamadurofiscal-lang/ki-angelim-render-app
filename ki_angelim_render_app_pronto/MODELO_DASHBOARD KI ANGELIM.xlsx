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ssica.m\Downloads\"/>
    </mc:Choice>
  </mc:AlternateContent>
  <bookViews>
    <workbookView xWindow="0" yWindow="0" windowWidth="28800" windowHeight="11715"/>
  </bookViews>
  <sheets>
    <sheet name="REVENDA.CREDITO ICMS" sheetId="1" r:id="rId1"/>
    <sheet name="FEDERAL CONSOLIDADO MT FL" sheetId="2" r:id="rId2"/>
    <sheet name="IMPOSTOS FILIAL BENF." sheetId="4" r:id="rId3"/>
    <sheet name="ICMS MATRIZ" sheetId="6" r:id="rId4"/>
    <sheet name="DASHNOARD EXECUTIVO" sheetId="3" r:id="rId5"/>
    <sheet name="FERRAGENS DECRETO 28494" sheetId="5" r:id="rId6"/>
  </sheets>
  <externalReferences>
    <externalReference r:id="rId7"/>
    <externalReference r:id="rId8"/>
  </externalReferences>
  <definedNames>
    <definedName name="_xlnm._FilterDatabase" localSheetId="0" hidden="1">'REVENDA.CREDITO ICMS'!$A$1:$L$689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" l="1"/>
  <c r="D11" i="2" s="1"/>
  <c r="D12" i="2" s="1"/>
  <c r="C4" i="2"/>
  <c r="C5" i="2" s="1"/>
  <c r="B4" i="2"/>
  <c r="B11" i="2" s="1"/>
  <c r="B12" i="2" s="1"/>
  <c r="K8" i="6"/>
  <c r="K6" i="6"/>
  <c r="K4" i="6"/>
  <c r="K5" i="6" s="1"/>
  <c r="E4" i="6"/>
  <c r="E5" i="6"/>
  <c r="E6" i="6"/>
  <c r="E7" i="6" s="1"/>
  <c r="E10" i="6" s="1"/>
  <c r="E8" i="6"/>
  <c r="E9" i="6"/>
  <c r="G32" i="3"/>
  <c r="G33" i="3"/>
  <c r="G34" i="3"/>
  <c r="G35" i="3"/>
  <c r="G36" i="3"/>
  <c r="G37" i="3"/>
  <c r="D4" i="4"/>
  <c r="D11" i="4" s="1"/>
  <c r="C4" i="4"/>
  <c r="C11" i="4" s="1"/>
  <c r="B7" i="4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N706" i="1"/>
  <c r="M706" i="1"/>
  <c r="N705" i="1"/>
  <c r="M705" i="1"/>
  <c r="N704" i="1"/>
  <c r="M704" i="1"/>
  <c r="N703" i="1"/>
  <c r="M703" i="1"/>
  <c r="N702" i="1"/>
  <c r="M702" i="1"/>
  <c r="N699" i="1"/>
  <c r="M699" i="1"/>
  <c r="N698" i="1"/>
  <c r="M698" i="1"/>
  <c r="N697" i="1"/>
  <c r="M697" i="1"/>
  <c r="N696" i="1"/>
  <c r="M696" i="1"/>
  <c r="N695" i="1"/>
  <c r="M695" i="1"/>
  <c r="D8" i="4" l="1"/>
  <c r="B11" i="4"/>
  <c r="K7" i="6"/>
  <c r="K10" i="6" s="1"/>
  <c r="B9" i="2"/>
  <c r="C9" i="2"/>
  <c r="D9" i="2"/>
  <c r="B8" i="2"/>
  <c r="B10" i="2" s="1"/>
  <c r="D6" i="2"/>
  <c r="C6" i="2"/>
  <c r="B6" i="2"/>
  <c r="C7" i="2"/>
  <c r="D5" i="4"/>
  <c r="C5" i="4"/>
  <c r="B8" i="4"/>
  <c r="B5" i="4"/>
  <c r="C8" i="4"/>
  <c r="B9" i="4"/>
  <c r="C6" i="4"/>
  <c r="C10" i="4"/>
  <c r="C9" i="4"/>
  <c r="D9" i="4"/>
  <c r="B6" i="4"/>
  <c r="B10" i="4"/>
  <c r="D6" i="4"/>
  <c r="D10" i="4"/>
  <c r="C7" i="4"/>
  <c r="D7" i="4"/>
  <c r="C8" i="2"/>
  <c r="C10" i="2" s="1"/>
  <c r="B5" i="2"/>
  <c r="D13" i="2"/>
  <c r="D14" i="2" s="1"/>
  <c r="B13" i="2"/>
  <c r="B14" i="2" s="1"/>
  <c r="C13" i="2"/>
  <c r="C14" i="2" s="1"/>
  <c r="D8" i="2"/>
  <c r="D10" i="2" s="1"/>
  <c r="D5" i="2"/>
  <c r="D7" i="2" s="1"/>
  <c r="C11" i="2"/>
  <c r="C12" i="2" s="1"/>
  <c r="G707" i="1"/>
  <c r="F700" i="1"/>
  <c r="D707" i="1"/>
  <c r="I699" i="1"/>
  <c r="C700" i="1"/>
  <c r="I695" i="1"/>
  <c r="F707" i="1"/>
  <c r="E707" i="1"/>
  <c r="G700" i="1"/>
  <c r="I702" i="1"/>
  <c r="E700" i="1"/>
  <c r="I706" i="1"/>
  <c r="I703" i="1"/>
  <c r="I698" i="1"/>
  <c r="I704" i="1"/>
  <c r="I705" i="1"/>
  <c r="I696" i="1"/>
  <c r="H700" i="1"/>
  <c r="H707" i="1"/>
  <c r="D700" i="1"/>
  <c r="I697" i="1"/>
  <c r="C707" i="1"/>
  <c r="N707" i="1"/>
  <c r="M707" i="1"/>
  <c r="O707" i="1" s="1"/>
  <c r="O705" i="1"/>
  <c r="O696" i="1"/>
  <c r="O697" i="1"/>
  <c r="O704" i="1"/>
  <c r="O699" i="1"/>
  <c r="M700" i="1"/>
  <c r="N700" i="1"/>
  <c r="O703" i="1"/>
  <c r="O698" i="1"/>
  <c r="O706" i="1"/>
  <c r="O695" i="1"/>
  <c r="O702" i="1"/>
  <c r="K9" i="6" l="1"/>
  <c r="B7" i="2"/>
  <c r="I700" i="1"/>
  <c r="I707" i="1"/>
  <c r="O700" i="1"/>
  <c r="C8" i="3" l="1"/>
  <c r="B8" i="3"/>
  <c r="D8" i="3"/>
  <c r="B10" i="3"/>
  <c r="C10" i="3"/>
  <c r="D10" i="3"/>
  <c r="D15" i="2" l="1"/>
  <c r="D16" i="2" s="1"/>
  <c r="D5" i="3"/>
  <c r="C5" i="3"/>
  <c r="B5" i="3"/>
  <c r="C15" i="2"/>
  <c r="C16" i="2" s="1"/>
  <c r="B15" i="2"/>
  <c r="B16" i="2" s="1"/>
  <c r="D6" i="3" l="1"/>
  <c r="B6" i="3"/>
  <c r="C6" i="3"/>
  <c r="B4" i="3"/>
  <c r="B7" i="3" s="1"/>
  <c r="B9" i="3" s="1"/>
  <c r="C4" i="3"/>
  <c r="C7" i="3" s="1"/>
  <c r="C9" i="3" s="1"/>
  <c r="D4" i="3"/>
  <c r="D7" i="3" s="1"/>
  <c r="D9" i="3" s="1"/>
</calcChain>
</file>

<file path=xl/comments1.xml><?xml version="1.0" encoding="utf-8"?>
<comments xmlns="http://schemas.openxmlformats.org/spreadsheetml/2006/main">
  <authors>
    <author>OpenAI</author>
  </authors>
  <commentList>
    <comment ref="B5" authorId="0" shapeId="0">
      <text>
        <r>
          <rPr>
            <sz val="11"/>
            <color theme="1"/>
            <rFont val="Calibri"/>
            <family val="2"/>
            <scheme val="minor"/>
          </rPr>
          <t>Fonte: SEFAZ RJ alíquota geral da matriz usada na simulação anterior.</t>
        </r>
      </text>
    </comment>
    <comment ref="B6" authorId="0" shapeId="0">
      <text>
        <r>
          <rPr>
            <sz val="11"/>
            <color theme="1"/>
            <rFont val="Calibri"/>
            <family val="2"/>
            <scheme val="minor"/>
          </rPr>
          <t>Fonte: crédito histórico efetivo calculado na planilha simulacao_revenda_icms_e_impostos_100k.xlsx.</t>
        </r>
      </text>
    </comment>
  </commentList>
</comments>
</file>

<file path=xl/sharedStrings.xml><?xml version="1.0" encoding="utf-8"?>
<sst xmlns="http://schemas.openxmlformats.org/spreadsheetml/2006/main" count="7100" uniqueCount="869">
  <si>
    <t>EMPRESA</t>
  </si>
  <si>
    <t>CATEGORIA</t>
  </si>
  <si>
    <t>04/2025</t>
  </si>
  <si>
    <t>05/2025</t>
  </si>
  <si>
    <t>06/2025</t>
  </si>
  <si>
    <t>07/2025</t>
  </si>
  <si>
    <t>08/2025</t>
  </si>
  <si>
    <t>09/2025</t>
  </si>
  <si>
    <t>TOTAL</t>
  </si>
  <si>
    <t>KI ANGELIM</t>
  </si>
  <si>
    <t>REVENDA</t>
  </si>
  <si>
    <t>MADEIRA FUTURA FILIAL</t>
  </si>
  <si>
    <t>USO E CONSUMO</t>
  </si>
  <si>
    <t>MANUTENCAO INTERNA</t>
  </si>
  <si>
    <t>ATIVO OU DESPESA OPERACIONAL</t>
  </si>
  <si>
    <t>MULTI MADEIRAS</t>
  </si>
  <si>
    <t>VALOR_ENTRADAS</t>
  </si>
  <si>
    <t>ICMS_OBSERVADO</t>
  </si>
  <si>
    <t>% ICMS_OBS.</t>
  </si>
  <si>
    <t>TICKET MEDIO MENSAL</t>
  </si>
  <si>
    <t>REFERENCIA_MES</t>
  </si>
  <si>
    <t>FORNECEDOR</t>
  </si>
  <si>
    <t>UF_FORNECEDOR</t>
  </si>
  <si>
    <t>PRODUTO</t>
  </si>
  <si>
    <t>NCM</t>
  </si>
  <si>
    <t>CFOP</t>
  </si>
  <si>
    <t>REGRA_CLASSIFICACAO</t>
  </si>
  <si>
    <t>FAMILIA_PRODUTO</t>
  </si>
  <si>
    <t>VALOR_ENTRADA</t>
  </si>
  <si>
    <t>DISFOIL COMERCIAL IMPORTADORA LTDA</t>
  </si>
  <si>
    <t>SP</t>
  </si>
  <si>
    <t>MANTA TERMICA 2 FACES DISFOIL PROFISSIONAL PREMIUM 50M2 1,20M RAFIA BOPP AZUL</t>
  </si>
  <si>
    <t>39259090</t>
  </si>
  <si>
    <t>2102</t>
  </si>
  <si>
    <t>item remanescente com perfil comercial</t>
  </si>
  <si>
    <t>MANTAS E LONAS</t>
  </si>
  <si>
    <t>REGIONAL TELHAS IND COM PRODS SIDERURGICOS LTDA</t>
  </si>
  <si>
    <t>RJ</t>
  </si>
  <si>
    <t>TELHA GALVALUME C RESINA AZ150 RT 25 1020 NACIONAL 0,43 ABNT NBR 14513</t>
  </si>
  <si>
    <t>73089090</t>
  </si>
  <si>
    <t>1101</t>
  </si>
  <si>
    <t>TELHAS E COBERTURA</t>
  </si>
  <si>
    <t>TORCETEX INDUSTRIA E COMERCIO LTDA</t>
  </si>
  <si>
    <t>TECIDO PALHA CASTANHO COM 160CM LARGURA</t>
  </si>
  <si>
    <t>53110000</t>
  </si>
  <si>
    <t>2101</t>
  </si>
  <si>
    <t>ACESSORIOS E DECORATIVOS</t>
  </si>
  <si>
    <t>CADIMETAL FERRAGENS LTDA</t>
  </si>
  <si>
    <t>Prego Cobre 17x21 S/C</t>
  </si>
  <si>
    <t>74151000</t>
  </si>
  <si>
    <t>1401</t>
  </si>
  <si>
    <t>FIXADORES</t>
  </si>
  <si>
    <t>TELHA GALVALUME C RESINA AZ150 RT 17 0980 NACIONAL 0,43 ABNT NBR 14513</t>
  </si>
  <si>
    <t>TECIDO TRAMA SEXTAVADA COM 80 CM LARGURA NATURAL</t>
  </si>
  <si>
    <t>BAUNGARTEN IND. E COM. LTDA</t>
  </si>
  <si>
    <t>PR</t>
  </si>
  <si>
    <t>ALMASUPER MARCENEIRO AEP400 0,5KG</t>
  </si>
  <si>
    <t>35061010</t>
  </si>
  <si>
    <t>OUTROS</t>
  </si>
  <si>
    <t>CASALITE IND E COM DE MATERIAIS DE CONSTRUCAO LTDA</t>
  </si>
  <si>
    <t>Telha Ondulada FS 2,44 x 1,10 x 5mm</t>
  </si>
  <si>
    <t>68118200</t>
  </si>
  <si>
    <t>CS SILVA LTDA - EPP</t>
  </si>
  <si>
    <t>SC</t>
  </si>
  <si>
    <t>TELHA AMERICANA VERMELHA IMPERMEABILIZADA</t>
  </si>
  <si>
    <t>69051000</t>
  </si>
  <si>
    <t>CERAMICA TETTOGRES LTDA</t>
  </si>
  <si>
    <t>TELHA GRES AMERICANA PALHA 1 FACE EXTRA</t>
  </si>
  <si>
    <t>Telha Ondulada FS 2,44 x 0,50 x 4mm</t>
  </si>
  <si>
    <t>TELHA GRES AMERICANA GRAFITE 1 FACE EXTRA</t>
  </si>
  <si>
    <t>MANTA TERMICA 2 FACES DISFOIL PROFISSIONAL PREMIUM 25M2 1,20M RAFIA BOPP AZUL</t>
  </si>
  <si>
    <t>GROSSL INDÚSTRIA E COMÉRCIO LTDA</t>
  </si>
  <si>
    <t>ADESIVO FRANK TB III ULTIMATE WOOD GLUE 1,05 KG (31415)</t>
  </si>
  <si>
    <t>35069120</t>
  </si>
  <si>
    <t>QUIMICOS E ACABAMENTO</t>
  </si>
  <si>
    <t>Gusa Com. de Materiais de Construcao Ltda.</t>
  </si>
  <si>
    <t>Tubo Ind. Quad. 70 X 70 X 2.00mm</t>
  </si>
  <si>
    <t>73066100</t>
  </si>
  <si>
    <t>1102</t>
  </si>
  <si>
    <t>Telha Ondulada FS 2,44 x 1,10 x 6mm</t>
  </si>
  <si>
    <t>STAM CENTRO DE DISTRIBUICAO</t>
  </si>
  <si>
    <t>FECH.  803/33 - ESP. INOX (G)</t>
  </si>
  <si>
    <t>83014000</t>
  </si>
  <si>
    <t>1403</t>
  </si>
  <si>
    <t>FERRAGENS E FECHADURAS</t>
  </si>
  <si>
    <t>TELHA AMERICANA BRANCA IMPERMEABILIZADA</t>
  </si>
  <si>
    <t>UDC 75 X 40 X 2.00mm (3 X 2.00mm)</t>
  </si>
  <si>
    <t>72161000</t>
  </si>
  <si>
    <t>RFC ALUMINIOS E ACESSORIOS LTDA</t>
  </si>
  <si>
    <t>TRILHO SUPERIOR ANOD/2M</t>
  </si>
  <si>
    <t>76042920</t>
  </si>
  <si>
    <t>UDC 50 X 25 X 2.00mm (2 X 2.00mm)</t>
  </si>
  <si>
    <t>TELHA GRES AMERICANA VITRIFICADA VERMELHA EXTRA</t>
  </si>
  <si>
    <t>INDUSTRIA DE TELHAS POLLA LTDA</t>
  </si>
  <si>
    <t>TELHA PORTUGUESA MESCLADA IMPERMEABILIZADA (nao lavar com produtos quimicos)</t>
  </si>
  <si>
    <t>FECH.  803/35 - RQ1 INOX (G)</t>
  </si>
  <si>
    <t>IMD COMERCIO DE MOVEIS LTDA</t>
  </si>
  <si>
    <t>RODIZIO EM GEL S/TRAVA 75</t>
  </si>
  <si>
    <t>83022000</t>
  </si>
  <si>
    <t>TELHA GRES AMERICANA BRANCA 1 FACE EXTRA</t>
  </si>
  <si>
    <t>DIME COMERCIO IMPORTACAO E EXPORTACAO LTDA.</t>
  </si>
  <si>
    <t>VERNIZ TINGIDOR ACETINADO PREMIUM GL CASTANHO MONTANA</t>
  </si>
  <si>
    <t>32081020</t>
  </si>
  <si>
    <t>TETTOLIT TELHA GRES GRAFITE 1 FACE EXTRA</t>
  </si>
  <si>
    <t>TELHA PORTUGUESA BRANCA IMPERMEABILIZADA (nao lavar com produtos quimicos)</t>
  </si>
  <si>
    <t>TELHA GRES AMERICANA PALHA 2 FACE EXTRA</t>
  </si>
  <si>
    <t>SAINT-GOBAIN DO BRASIL PRODUTOS   INDUSTRIAIS E PARA CONSTRU</t>
  </si>
  <si>
    <t>ADESIVO INST MOVELEIRO 100G BICO ANTIENTUPIMENTO</t>
  </si>
  <si>
    <t>ADESIVO FRANK TB III ULTIMATE WOOD GLUE 4,1KG (1416)</t>
  </si>
  <si>
    <t>ADESIVO FRANK TB III ULTIMATE WOOD GLUE 525 G (31414)</t>
  </si>
  <si>
    <t>35061090</t>
  </si>
  <si>
    <t>MONTANA QUIMICA LTDA</t>
  </si>
  <si>
    <t>OSMOCOLOR TRANSPARENTE 3,6L</t>
  </si>
  <si>
    <t>38089299</t>
  </si>
  <si>
    <t>PREGO GALVANIZADO A FOGO S/C GUEPAR 17 X 27 C/1 KG</t>
  </si>
  <si>
    <t>73170090</t>
  </si>
  <si>
    <t>PREGO GALVANIZADO A FOGO S/C GUEPAR 17 X 21 C/1 KG</t>
  </si>
  <si>
    <t>BELENUS LTDA</t>
  </si>
  <si>
    <t>ES</t>
  </si>
  <si>
    <t>PREGO COM CABECA 15X15 BELGO</t>
  </si>
  <si>
    <t>2403</t>
  </si>
  <si>
    <t>TELHA PORTUGUESA VERMELHA IMPERMEABILIZADA</t>
  </si>
  <si>
    <t>LUBIAN TELHAS INDUSTRIA LTDA</t>
  </si>
  <si>
    <t>TELHA PET LUBIAN AMERICANA G INJETADA</t>
  </si>
  <si>
    <t>6401</t>
  </si>
  <si>
    <t>TECNOFAST IND E COM LTDA - SP</t>
  </si>
  <si>
    <t>GR30F (5.000 ML)</t>
  </si>
  <si>
    <t>83052000</t>
  </si>
  <si>
    <t>CALHA C/ BOB 28 X 50CM (0,43)</t>
  </si>
  <si>
    <t>79050000</t>
  </si>
  <si>
    <t>CALHAS E METAIS</t>
  </si>
  <si>
    <t>MANTA TERMICA 2 FACES DISFOIL PROFISSIONAL PREMIUM 10M2 1,20M RAFIA BOPP AZUL</t>
  </si>
  <si>
    <t>UDC 100 X 40 X 2.00mm (4 X 2.00mm)</t>
  </si>
  <si>
    <t>STARRETT INDUSTRIA E COMERCIO LTDA - FILIAL</t>
  </si>
  <si>
    <t>MG</t>
  </si>
  <si>
    <t>S.FITA CARB WOODPECKER PREMIUM 19X0,70X3/HK-P-R</t>
  </si>
  <si>
    <t>82022000</t>
  </si>
  <si>
    <t>INDFEMA IND.COM.REPRE.FER.MAD.L</t>
  </si>
  <si>
    <t>RS</t>
  </si>
  <si>
    <t>FACA CALCADA EM METAL DURO 600x30x3 MM</t>
  </si>
  <si>
    <t>82082000</t>
  </si>
  <si>
    <t>S.FITA CARBONO DURATEC SUPER FB 10X0,65X4/SK-S-R</t>
  </si>
  <si>
    <t>ORBI QUIMICA S/A</t>
  </si>
  <si>
    <t>BA</t>
  </si>
  <si>
    <t>ORBIFLEX USO GERAL PU BRANCO 380G</t>
  </si>
  <si>
    <t>35069190</t>
  </si>
  <si>
    <t>TETTOLIT TELHA GRES PALHA 2 FACES EXTRA</t>
  </si>
  <si>
    <t>CALHA C/ BOB 28 X 30CM (0.43)</t>
  </si>
  <si>
    <t>OSMOCOLOR AGUA NATURAL UV GOLD 3,6L</t>
  </si>
  <si>
    <t>32091020</t>
  </si>
  <si>
    <t>ADESIVO FRANK TB CONST. INTERIOR/EXTERIOR 296 ML ROSQ. (33451)</t>
  </si>
  <si>
    <t>OSMOCOLOR ST IPE 3,6L</t>
  </si>
  <si>
    <t>OSMOCOLOR ST MOGNO 3,6L</t>
  </si>
  <si>
    <t>FECH.  803/33 - ESP. ANTIQUE E-COAT (G)</t>
  </si>
  <si>
    <t>FECH.  823/35 - RQ1 INOX</t>
  </si>
  <si>
    <t>FHEL COMERCIO DE MATERIAIS PARA CONSTRUCAO LTDA EPP</t>
  </si>
  <si>
    <t>TELHA DE VIDRO PORTUGUESA - PRISMATIC -</t>
  </si>
  <si>
    <t>70169000</t>
  </si>
  <si>
    <t>BOBINA ALUMINIO 0,50M X 27,5M GUEPAR</t>
  </si>
  <si>
    <t>76061190</t>
  </si>
  <si>
    <t>S.FITA CARB WOODPECKER PREMIUM 13X0,55X4/HK-P-R</t>
  </si>
  <si>
    <t>JJI COMERCIO ATACADISTA LTDA</t>
  </si>
  <si>
    <t>CORREDICA INVISIVEL COM AMORT/SOFT CLOSE 500MM 30KG</t>
  </si>
  <si>
    <t>83024200</t>
  </si>
  <si>
    <t>TRILHO SUPERIOR ANOD/3M</t>
  </si>
  <si>
    <t>FITA ADESIVA METALIZADA 40MM X 45M DISFOIL - ATACADO CAIXA 84 ROLOS</t>
  </si>
  <si>
    <t>59061000</t>
  </si>
  <si>
    <t>FAMART DISTRIBUIDORA DE FERRAGENS LTDA</t>
  </si>
  <si>
    <t>PREGO CABECA DUPLA POLIDO 17X27 1KG MULTIBARRAS</t>
  </si>
  <si>
    <t>73170020</t>
  </si>
  <si>
    <t>VERNIZ MARITIMO NATURAL ACET 3,6L</t>
  </si>
  <si>
    <t>DOBRAD CURVA CALCO FIXO 110° SOFT CLOSE INOX MN</t>
  </si>
  <si>
    <t>83021000</t>
  </si>
  <si>
    <t>TELHA GRES AMERICANA CINZA 2 FACE EXTRA</t>
  </si>
  <si>
    <t>TELHA GRES AMERICANA GRAFITE 2 FACE EXTRA</t>
  </si>
  <si>
    <t>ALMAFLEX PUR 501 500G</t>
  </si>
  <si>
    <t>PREGO COM CABECA 20X48 GERDAU</t>
  </si>
  <si>
    <t>GR40F (5.000 ML)</t>
  </si>
  <si>
    <t>PREGO DE ACO COM CABECA 17X21 C/1KG ALGOM</t>
  </si>
  <si>
    <t>TELHA PET LUBIAN ROMANA NEW INJETADA</t>
  </si>
  <si>
    <t>HELPTEX 500 ML</t>
  </si>
  <si>
    <t>38099110</t>
  </si>
  <si>
    <t>UDC 68 X 30 X 2.00mm</t>
  </si>
  <si>
    <t>FECH.  803/35 - RQ1 OXIDADO E-COAT (G)</t>
  </si>
  <si>
    <t>KADESH CALCADOS PROFISSIONAIS LTDA</t>
  </si>
  <si>
    <t>BOT FLEX ELASTICO PRETA BI B/PP N42</t>
  </si>
  <si>
    <t>64039990</t>
  </si>
  <si>
    <t>DOBRADICA PREMIUM CURVA CALCO FIXO 110 PISTAO(SOFT CLOSE)74G</t>
  </si>
  <si>
    <t>ALMAFLEX PVA EXTRA FORTE 768 05KG</t>
  </si>
  <si>
    <t>Zarcao Acab Solventex Cinza - 5090 18L</t>
  </si>
  <si>
    <t>32081010</t>
  </si>
  <si>
    <t>FITILHO 750 GRAMAS CYCLOPACK</t>
  </si>
  <si>
    <t>54050000</t>
  </si>
  <si>
    <t>SELADORA BASE AGUA 3,6L</t>
  </si>
  <si>
    <t>SERRA CIRCULAR HW 300x2,2x3,2x30-36Z ED</t>
  </si>
  <si>
    <t>82023100</t>
  </si>
  <si>
    <t>PUX TANGO ESC 128</t>
  </si>
  <si>
    <t>ADESIVO FRANK TB II PREMIUM GLUE (5006) 4,1 KG</t>
  </si>
  <si>
    <t>OSMOCOLOR TRANSPARENTE MONTANA GL 3,6</t>
  </si>
  <si>
    <t>PENTOX SUPER INCOLOR 5L</t>
  </si>
  <si>
    <t>38089192</t>
  </si>
  <si>
    <t>METALFIXE IND E COM DE METAIS EIRELI</t>
  </si>
  <si>
    <t>REF 0253 PONTEIRA ENCAIXE VAZADA MMO ANODIZADO</t>
  </si>
  <si>
    <t>79070090</t>
  </si>
  <si>
    <t>REF 0336 PONTEIRA VAZADA MMN MOV4077 15MM ANODIZADA</t>
  </si>
  <si>
    <t>STRIPTIZI REMOVEDOR GEL 4KG</t>
  </si>
  <si>
    <t>38140090</t>
  </si>
  <si>
    <t>ADESIVO FRANK TB II PREMIUM WOOD GLUE 516 GR (35004)</t>
  </si>
  <si>
    <t>PULSADOR MAGNÉTICO SOBREPOR METÁLICO CINZA</t>
  </si>
  <si>
    <t>CORREDICA LARGA/PESADA/STEEL H45X450MM 35KG</t>
  </si>
  <si>
    <t>TECIDOS E ARMARINHOS MIGUEL BARTOLOMEU S/A</t>
  </si>
  <si>
    <t>LONA PRETA LONAX 4X100 REF.150 40K</t>
  </si>
  <si>
    <t>39202019</t>
  </si>
  <si>
    <t>HOT MELT GRÃOS TRANSPARENTE</t>
  </si>
  <si>
    <t>PUX 15MM PRETO C/  3M</t>
  </si>
  <si>
    <t>OSMOCOLOR IPE MONTANA GL 3,6L</t>
  </si>
  <si>
    <t>DOBRA CLICK RENNA ECONOMICA C/PIS CURVA</t>
  </si>
  <si>
    <t>FECH. 1006 ROS. QUADRADA CROMADO</t>
  </si>
  <si>
    <t>SERRA CIRCULAR HW 300x2,2x3,2x30-24Z ED</t>
  </si>
  <si>
    <t>TECNOFAST IND E COM LTDA</t>
  </si>
  <si>
    <t>GRAMPO 92/30 ATAC.</t>
  </si>
  <si>
    <t>PUX TANGO CROMADO 160</t>
  </si>
  <si>
    <t>VIAPOL LTDA.</t>
  </si>
  <si>
    <t>MF-12 - JATOBA 1,65 kg</t>
  </si>
  <si>
    <t>32141020</t>
  </si>
  <si>
    <t>VIAFLEX FITA SLEEVE (10cm x 10m) CX C/ 8</t>
  </si>
  <si>
    <t>68071000</t>
  </si>
  <si>
    <t>ALMAFLEX PU40 BRANCO 387G</t>
  </si>
  <si>
    <t>ADESIVO FRANK TB II PREMIUM WOOD GLUE 1,03 KG (35005)</t>
  </si>
  <si>
    <t>SERRA CIRCULAR HW 250x2,2x3,2x30-36Z ED</t>
  </si>
  <si>
    <t>ADESIVO FRANK TB ORIGINAL WOOD GLUE 510G (35064)</t>
  </si>
  <si>
    <t>FECH.  823/33 - RQ1 INOX</t>
  </si>
  <si>
    <t>RUFO P/ TELHADO BOB. 20 CM { 0,43}</t>
  </si>
  <si>
    <t>REF 0035 CANTONEIRA AÉREA REFORÇADA COM CAPA ALTA BRANCA</t>
  </si>
  <si>
    <t>GR50F (5.000 ML)</t>
  </si>
  <si>
    <t>FURADEIRA IMPACTO 1/2 600W VVR 220V STANLEY</t>
  </si>
  <si>
    <t>84672100</t>
  </si>
  <si>
    <t>FERRAMENTAS</t>
  </si>
  <si>
    <t>Mundo das Ferramentas do Brasil Ltda</t>
  </si>
  <si>
    <t>BITS PHILLIPS PH2, ACO RAPIDO, 90MM, 10PCS // GROSS</t>
  </si>
  <si>
    <t>82079000</t>
  </si>
  <si>
    <t>PUX IRIS ESC 160</t>
  </si>
  <si>
    <t>BOT FLEX ELASTICO PRETA BI B/PP N41</t>
  </si>
  <si>
    <t>VERNIZ TINGIDOR IMBUIA ACET 3,6L</t>
  </si>
  <si>
    <t>VERNIZ TINGIDOR IPE ACET 3,6L</t>
  </si>
  <si>
    <t>VERNIZ TINGIDOR MOGNO ACET 3,6L</t>
  </si>
  <si>
    <t>Parafuso auto broc. telhado 5,5 X 19,05 CH 5/16</t>
  </si>
  <si>
    <t>73182900</t>
  </si>
  <si>
    <t>ALMAFLEX PVA EXTRA FORTE 768 01KG</t>
  </si>
  <si>
    <t>CORREDICA TELESC LARGA 35KG 45X400</t>
  </si>
  <si>
    <t>PUX IRIS CROMADO 128</t>
  </si>
  <si>
    <t>GR25F (5.000 ML)</t>
  </si>
  <si>
    <t>VERNIZ AGUA MARITIMO NAT ACET 3,6L</t>
  </si>
  <si>
    <t>TELHA ROMANA 2016 VERMELHA IMPERMEABILIZADA</t>
  </si>
  <si>
    <t>PUX IRIS ESC 128</t>
  </si>
  <si>
    <t>PUX TANGO CROMADO 192</t>
  </si>
  <si>
    <t>OSMOCOLOR AGUA NATURAL UV GOLD 0,9L</t>
  </si>
  <si>
    <t>SERRA TICO-TICO BI-METAL 75MM 10D RETIF.AFILADA</t>
  </si>
  <si>
    <t>82029990</t>
  </si>
  <si>
    <t>SERRA TICO-TICO BI-METAL 75MM 6D RETIF.AFILADA</t>
  </si>
  <si>
    <t>PERIN PLASTICOS LTDA</t>
  </si>
  <si>
    <t>CANTONEIRA "L" 20X20 R ANGELIM 6,00</t>
  </si>
  <si>
    <t>39162000</t>
  </si>
  <si>
    <t>PENTOX CUPIM AEROSSOL 400ML</t>
  </si>
  <si>
    <t>38089119</t>
  </si>
  <si>
    <t>TRINCHA PINT 312 X 3    CB BR.ROMA</t>
  </si>
  <si>
    <t>96034090</t>
  </si>
  <si>
    <t>PINTURA</t>
  </si>
  <si>
    <t>PERFIL BRUNA GRAFITE PREMIUM C/  82MM</t>
  </si>
  <si>
    <t>PERFIL BRUNA PRETO PREMIUM C/  82MM</t>
  </si>
  <si>
    <t>PUXADOR LUNA GRAFITE PREMIUM C/ 82MM</t>
  </si>
  <si>
    <t>PUXADOR LUNA PRETO PREMIUM C/ 82MM</t>
  </si>
  <si>
    <t>TUBO ESG. 75MM 6MT C/5UN FORTLEV</t>
  </si>
  <si>
    <t>39172300</t>
  </si>
  <si>
    <t>SERRA CIRCULAR HW 350x2,5x3,8x30-36Z ED</t>
  </si>
  <si>
    <t>FECH.  813/35 - RQ1 OXIDADO E-COAT</t>
  </si>
  <si>
    <t>GR35F (5.000 ML)</t>
  </si>
  <si>
    <t>CANTONEIRA "L" 20X20 R ANGELIM  3,00</t>
  </si>
  <si>
    <t>NIVEL DE ALUMINIO FERROVIARIO, REFORCADO, 2 BOLHAS + 1 ROTATIVA, 32POL., 800MM, 1PC // MTX</t>
  </si>
  <si>
    <t>90318099</t>
  </si>
  <si>
    <t>VERNIZ AGUA MARITIMO NAT ACET 0,9L</t>
  </si>
  <si>
    <t>VERNIZ MARITIMO NATURAL BRILHO 3,6 L</t>
  </si>
  <si>
    <t>ORBIFLEX USO GERAL PU PRETO 380G</t>
  </si>
  <si>
    <t>TRILHO ANODIZADO FOSCO/2M</t>
  </si>
  <si>
    <t>PUX IRIS CROMADO 192</t>
  </si>
  <si>
    <t>CORRENTE ELO CURTO GALV. GUEPAR 4.0MM X 5/32" CARRETEL 20KG</t>
  </si>
  <si>
    <t>73158200</t>
  </si>
  <si>
    <t>CORREDICA TELESC LARGA 35KG 45X300</t>
  </si>
  <si>
    <t>ADESIVO FRANK TB II PREMIUM WOOD GLUE 258G (35003)</t>
  </si>
  <si>
    <t>PT P/ PUX 4065/ 4077 DIR/ESQ VAZADA FOSCO</t>
  </si>
  <si>
    <t>PT P/ PUX 4072 DIR/ESQ FOSCO VAZADA</t>
  </si>
  <si>
    <t>PREGO CABECA DUPLA 17X27 20KG BELGO</t>
  </si>
  <si>
    <t>REF 0004 SUP.CAB. OBLONGO CROMADO</t>
  </si>
  <si>
    <t>FECH. 1006 ROS. QUADRADA BLACK</t>
  </si>
  <si>
    <t>MF-12 - JATOBA 400 g</t>
  </si>
  <si>
    <t>PREGO SEM CABECA 13X18 GERDAU</t>
  </si>
  <si>
    <t>GR20F (5.000 ML)</t>
  </si>
  <si>
    <t>PARAFUSO DESENGROSSO INVICTA-NOVO C/PORCA 1.1/2"</t>
  </si>
  <si>
    <t>73181500</t>
  </si>
  <si>
    <t>CORREDICA TELESCOPICA MN ESTREITA/LEVE/LIGHT 350MM</t>
  </si>
  <si>
    <t>CALHA C/ BOB 28 X 40CM (0.43)</t>
  </si>
  <si>
    <t>ALMAFLEX PVA EXTRA FORTE 768 10KG</t>
  </si>
  <si>
    <t>CORREDICA TELESC LIGHT 35X300 - ZINCADO</t>
  </si>
  <si>
    <t>GR45F (5.000 ML)</t>
  </si>
  <si>
    <t>PISTAO FORCA NORMAL BRANCO 60N</t>
  </si>
  <si>
    <t>PISTAO FORCA NORMAL BRANCO 80N</t>
  </si>
  <si>
    <t>SERRA TICO-TICO BI-METAL 125MM 6D FRESADA/TRAVADA C/2</t>
  </si>
  <si>
    <t>VERNIZ MARITIMO NATURAL ACET 0,9L</t>
  </si>
  <si>
    <t>PREGO COM CABECA P12X12 20KG BELGO</t>
  </si>
  <si>
    <t>BOT FLEX ELASTICO PRETA BI B/PP N40</t>
  </si>
  <si>
    <t>PUX PONTO REDONDO ESC 31,5</t>
  </si>
  <si>
    <t>FECH.  813/35 - RQ1 INOX</t>
  </si>
  <si>
    <t>PERFIL BRUNA ANOD. FOSCO C/ 82MM</t>
  </si>
  <si>
    <t>PUXADOR LUNA FOSCO PREMIUM C/ 82MM</t>
  </si>
  <si>
    <t>CORRENTE ELO CURTO GALV. GUEPAR 6.3MM X 1/4" CARRETEL 20KG</t>
  </si>
  <si>
    <t>FACA DESEMPENO 330x25x3mm *PC*</t>
  </si>
  <si>
    <t>NIVEL DE ALUMINIO FERROVIARIO, REFORCADO, 2 BOLHAS + 1 ROTATIVA, 40POL., 1000MM, 1PC // MTX</t>
  </si>
  <si>
    <t>NIVEL DE ALUMINIO FERROVIARIO, REFORCADO, 2 BOLHAS + 1 ROTATIVA, 24POL., 600MM, 1PC // MTX</t>
  </si>
  <si>
    <t>BITS PHILLIPS PH2, ACO RAPIDO, 50MM, 2PCS // GROSS</t>
  </si>
  <si>
    <t>ADESIVO FRANK TB ORIGINAL WOOD GLUE 255G (35063)</t>
  </si>
  <si>
    <t>REF 0035 CANTONEIRA AÉREA REFORÇADA COM CAPA ALTA PRETA</t>
  </si>
  <si>
    <t>SERRA CIRCULAR HW 250x2,0x3,0x30-60Z ED</t>
  </si>
  <si>
    <t>REF 0002 CANTONEIRA 2 FUROS MACIÇA BRANCO (EMB COM 100)</t>
  </si>
  <si>
    <t>REF 0002 CANTONEIRA 2 FUROS MACIÇA NÍQUEL (EMB COM 100)</t>
  </si>
  <si>
    <t>PENTOX SUPER INCOLOR 0,9L</t>
  </si>
  <si>
    <t>SERRA TICO-TICO BI-METAL 75MM 9-19D REG. AFIL. C/2</t>
  </si>
  <si>
    <t>PUX PONTO REDONDO CROMADO 31,5</t>
  </si>
  <si>
    <t>PUX PONTO REDONDO PRETO FOSCO 31,5</t>
  </si>
  <si>
    <t>PREGO COM CABECA 13X18 20KG BELGO</t>
  </si>
  <si>
    <t>BOT FLEX NOBUCK 3G PU BI B/PP MARROM N41</t>
  </si>
  <si>
    <t>PUX PONTO REDONDO ESC 24</t>
  </si>
  <si>
    <t>REF 0028 SISTEMA DE ENCAIXE CONJUNTO</t>
  </si>
  <si>
    <t>FECH. 1006 ROS. REDONDA INOX</t>
  </si>
  <si>
    <t>FECH.  813/33 - RQ1 INOX</t>
  </si>
  <si>
    <t>FECH. 1005 T. ROLETE ROS. QUADRADA CROMADO</t>
  </si>
  <si>
    <t>SERRA CIRCULAR HW 250x2,2x3,2x30-48Z ED</t>
  </si>
  <si>
    <t>FITA ACR DUPLA FACE EXT 12MMX2M BLISTER</t>
  </si>
  <si>
    <t>PREGO COM CABECA 15X18 20KG BELGO</t>
  </si>
  <si>
    <t>CORREDICA TELESCOPICA COM AMORT/SOFT CLOSE 350MM</t>
  </si>
  <si>
    <t>LOTUS COMERCIAL DE FERRAGENS E FERRAMENTAS LTDA</t>
  </si>
  <si>
    <t>JOGO FORMAO C/4 (1/2 , 3/4 , 3/8  E 1 ) 20/5</t>
  </si>
  <si>
    <t>82053000</t>
  </si>
  <si>
    <t>BITS PHILLIPS PH2, ACO RAPIDO, 70MM, 10PCS // GROSS</t>
  </si>
  <si>
    <t>CANTONEIRA "L" 20X20 BRANCO 3,00</t>
  </si>
  <si>
    <t>CANTONEIRA "L" 20X20 CINZA  CHUMBO 3,00</t>
  </si>
  <si>
    <t>PREGO ACO TEMP/NIQ S/C GUEPAR 17 X 21 C/1 KG</t>
  </si>
  <si>
    <t>CORREDICA TELESC LARGA 35KG 45X350</t>
  </si>
  <si>
    <t>FECHADURA CHAVE FIXA C/BATENTE 16X31</t>
  </si>
  <si>
    <t>83013000</t>
  </si>
  <si>
    <t>PREGO POLIDO COM CABECA 22x48 1KG GERDAU</t>
  </si>
  <si>
    <t>PREGO COM CABECA 16X21 20KG BELGO</t>
  </si>
  <si>
    <t>LONA PRETA LONAX 4X100 REF.070 20K</t>
  </si>
  <si>
    <t>PREGO POLIDO 20X48 COM CABECA 1KG MULTIBARRAS</t>
  </si>
  <si>
    <t>MF-12 - CUMARU - SP - 200 g</t>
  </si>
  <si>
    <t>CORREDICA TELESCOPICA MN ESTREITA/LEVE/LIGHT 400MM</t>
  </si>
  <si>
    <t>BOT FLEX ELASTICO PRETA BI B/PP N43</t>
  </si>
  <si>
    <t>TRINCHA PINT 312 X 2.1/2CB BR.ROMA</t>
  </si>
  <si>
    <t>PARAFUSO CHIPBOARD 3,5X40 ZINCADO AMARELO</t>
  </si>
  <si>
    <t>73181200</t>
  </si>
  <si>
    <t>TELHA CUMEEIRA BRANCA IMPERMEABILIZADA</t>
  </si>
  <si>
    <t>FITA ACR DUPLA FACE EXT 25MMX2M BLISTER</t>
  </si>
  <si>
    <t>PARAFUSO CHIPBOARD 4X50 ZINCADO AMARELO</t>
  </si>
  <si>
    <t>FACA DESEMPENO 400x35x3</t>
  </si>
  <si>
    <t>VERNIZ MARITIMO ACET. PREMIUM INCOLOR MONTANA GL 3,6</t>
  </si>
  <si>
    <t>PREGO COM CABECA P20X48 20KG BELGO</t>
  </si>
  <si>
    <t>ORBIFLEX USO GERAL PU CINZA 380G</t>
  </si>
  <si>
    <t>JOGO SERRA COPO 1  C/12 19-64MM EST 30/1</t>
  </si>
  <si>
    <t>PREGO TELHEIRO C/20 PCT 500GR GUEPAR 18 X 30</t>
  </si>
  <si>
    <t>JOGO BROCAS POLEGADAS C/6 PCS ACO RAPIDO Ø 1/8", 9/64", 5/32", 3/16", 1/4" E 5/16"</t>
  </si>
  <si>
    <t>82075011</t>
  </si>
  <si>
    <t>FECH. 1006 ROS. REDONDA BLACK</t>
  </si>
  <si>
    <t>RODIZIO TPR 50MM 38KG C/FREIO 100/1</t>
  </si>
  <si>
    <t>STRIPTIZI REMOVEDOR GEL 1KG</t>
  </si>
  <si>
    <t>PUX IRIS ESC 96</t>
  </si>
  <si>
    <t>MF-12 - CUMARU 400 g</t>
  </si>
  <si>
    <t>MF-12 ANGELIM 400 g</t>
  </si>
  <si>
    <t>JOGO BROCAS DE ACO RAPIDO C/ 6 PCS Ø 3, 3.5, 4, 5, 6 E 8MM - P/ METAL</t>
  </si>
  <si>
    <t>GR15F (5.000 ML)</t>
  </si>
  <si>
    <t>FECH.  823/33 - ESP. PRETO FOSCO</t>
  </si>
  <si>
    <t>TUBO CABID CURVO 90 OBLONGO CROMADO 0,6X1500</t>
  </si>
  <si>
    <t>73066900</t>
  </si>
  <si>
    <t>TUBO CABID CURVO 90 REDONDO CROMADO 0,6X1500</t>
  </si>
  <si>
    <t>73065000</t>
  </si>
  <si>
    <t>SERROTE BI-MATERIAL 20 500MM IRWIN</t>
  </si>
  <si>
    <t>82021000</t>
  </si>
  <si>
    <t>REFIL PARA MACARICO 28/4</t>
  </si>
  <si>
    <t>27111300</t>
  </si>
  <si>
    <t>CORREDICA TELESC LARGA 35KG 45X250</t>
  </si>
  <si>
    <t>Suporte P/ Calha Fund. 10</t>
  </si>
  <si>
    <t>72149100</t>
  </si>
  <si>
    <t>REF 0005 SUP.CAB. REDONDO CROMADO</t>
  </si>
  <si>
    <t>CUMEEIRA GRES GRAFITE EXTRA</t>
  </si>
  <si>
    <t>PERFIL BRUNA GOLD PREMIUM C/  82MM</t>
  </si>
  <si>
    <t>PERFIL BRUNA ROSE PREMIUM C/  82MM</t>
  </si>
  <si>
    <t>PUXADOR LUNA GOLD PREMIUM C/ 82MM</t>
  </si>
  <si>
    <t>PUXADOR LUNA ROSE PREMIUM C/ 82MM</t>
  </si>
  <si>
    <t>CORREDICA LARGA/PESADA/STEEL H45X550MM 35KG</t>
  </si>
  <si>
    <t>FITA ACR DUPLA FACE EXT 19MMX2M BLISTER</t>
  </si>
  <si>
    <t>BOT FLEX NOBUCK 3G PU BI B/PP MARROM N40</t>
  </si>
  <si>
    <t>PARAFUSO CHIPBOARD 4X40 ZINCADO AMARELO</t>
  </si>
  <si>
    <t>BOT FLEX ELASTICO PRETA BI B/PP N39</t>
  </si>
  <si>
    <t>BOT FLEX ELASTICO PRETA BI B/PP N44</t>
  </si>
  <si>
    <t>FECH. 1006 ROS. QUADRADA ANTIQUE E-COAT</t>
  </si>
  <si>
    <t>LONA DE POLIETILENO AZUL 80G/M² GUEPAR 8 X 8 MTS</t>
  </si>
  <si>
    <t>63061200</t>
  </si>
  <si>
    <t>FECH.  823/35 - RQ1 OXIDADO E-COAT</t>
  </si>
  <si>
    <t>VERNIZ TINGIDOR CASTANHO ACET 0,9L</t>
  </si>
  <si>
    <t>VERNIZ TINGIDOR IMBUIA ACET 0,9 L</t>
  </si>
  <si>
    <t>VERNIZ TINGIDOR IPE ACET 0,9L</t>
  </si>
  <si>
    <t>VERNIZ TINGIDOR MOGNO ACET 0,9L</t>
  </si>
  <si>
    <t>FECH. 1801/21 - ESP. INOX (G)</t>
  </si>
  <si>
    <t>CORREDICA LARGA/PESADA/STEEL H45X500MM 35KG</t>
  </si>
  <si>
    <t>FORMAO CHANFRADO, CABO DUPLA INJECAO EMBORRACHADO, 1.ENCAIXE 1/2POL., 38MM, 1PC // MTX</t>
  </si>
  <si>
    <t>PENTOX SUPER INCOLOR B. SOLVENTE MONTANA 900 ML</t>
  </si>
  <si>
    <t>BITS TORCAO PH2, PARA FERRAMENTAS DE IMPACTO, 50MM, 2PCS // GROSS</t>
  </si>
  <si>
    <t>SERRA TICO-TICO BI-METAL 75MM 10D RETIF.AFIL C/2</t>
  </si>
  <si>
    <t>SERRA TICO-TICO BI-METAL 75MM 6D RETIF.AFILADA C/2</t>
  </si>
  <si>
    <t>FECH. 1005 T. ROLETE ROS. QUADRADA BLACK</t>
  </si>
  <si>
    <t>VERNIZ AGUA MARITIMO NAT BRIL 0,9L</t>
  </si>
  <si>
    <t>DOBRADI PORTEI.FERRAD.N1 SAOROMAC6</t>
  </si>
  <si>
    <t>FECH.  823/21 - RQ1 INOX</t>
  </si>
  <si>
    <t>BETUME 500ML LACXE</t>
  </si>
  <si>
    <t>27150000</t>
  </si>
  <si>
    <t>Wermar Materiais de Construcao Ltda</t>
  </si>
  <si>
    <t>BASE DECORA MATTE FOSCO | P | 3.20L | CORAL</t>
  </si>
  <si>
    <t>32091010</t>
  </si>
  <si>
    <t>TRANSFORMA.BI.1500VA110X220X110 KF</t>
  </si>
  <si>
    <t>85043211</t>
  </si>
  <si>
    <t>FORMAO CHANFRADO, CABO DUPLA INJECAO EMBORRACHADO, 1.1/32POL., 26MM, 1PC // MTX</t>
  </si>
  <si>
    <t>TRENA 8M LARANJA LUFKIN</t>
  </si>
  <si>
    <t>90178090</t>
  </si>
  <si>
    <t>FECH.  315 - C/PROLONGADOR NIQUELADO CCSD</t>
  </si>
  <si>
    <t>FECH.  823/33 - RQ1 PRETO FOSCO</t>
  </si>
  <si>
    <t>MASSA PVA IQUINE  BD 25KG</t>
  </si>
  <si>
    <t>CORREDICA TELESC LARGA 35KG 45X500</t>
  </si>
  <si>
    <t>PUX TANGO PRETO FOSCO 128</t>
  </si>
  <si>
    <t>SERRA TICO-TICO BI-METAL 100MM 6D C/2</t>
  </si>
  <si>
    <t>BASE DECORA MATTE FOSCO | MF | 3.20L | CORAL</t>
  </si>
  <si>
    <t>VERNIZ MARITIMO NATURAL BRILHO 0,9 L</t>
  </si>
  <si>
    <t>TERMINAL LATERAL GRES GRAFITE 1 FACE EXTRA</t>
  </si>
  <si>
    <t>FECH.  315 - NIQUELADO CCSD</t>
  </si>
  <si>
    <t>FECH. 1005 T. ROLETE ROS. REDONDA INOX</t>
  </si>
  <si>
    <t>ALICATE PRESSAO 10  CABO BICOLOR FLEX 36/6</t>
  </si>
  <si>
    <t>82032010</t>
  </si>
  <si>
    <t>BITS PHILLIPS PH1, ACO RAPIDO, 50MM, 2PCS // GROSS</t>
  </si>
  <si>
    <t>BITS PHILLIPS PH3, ACO RAPIDO, 50MM, 2PCS // GROSS</t>
  </si>
  <si>
    <t>REF 0035 CANTONEIRA AÉREA REFORÇADA COM CAPA ALTA MARROM</t>
  </si>
  <si>
    <t>TRANSFORMA.BI.3000VA110X220X110 KF</t>
  </si>
  <si>
    <t>GUEPARCOLOR MULTIACAO BRANCO BRILHANTE C/06 UN</t>
  </si>
  <si>
    <t>32082019</t>
  </si>
  <si>
    <t>GUEPARCOLOR MULTIACAO PRETO BRILHANTE C/06 UN</t>
  </si>
  <si>
    <t>GUEPARCOLOR MULTIACAO PRETO FOSCO C/06 UN</t>
  </si>
  <si>
    <t>FORMAO CHANFRADO, CABO DOIS COMPONENTES EMBORRACHADO, 1.3/16POL., 30MM, 1PC // MTX</t>
  </si>
  <si>
    <t>LAMPADA LED  50W 6500K ELGIN</t>
  </si>
  <si>
    <t>85395200</t>
  </si>
  <si>
    <t>CORREDICA TELESC LARGA 35KG 45X450</t>
  </si>
  <si>
    <t>FECH.  813/35 - RQ1 PRETO FOSCO</t>
  </si>
  <si>
    <t>FECH.  823/35 - RQ1 PRETO FOSCO</t>
  </si>
  <si>
    <t>FECHADURA CHAVE FIXA C/BATENTE 16X22</t>
  </si>
  <si>
    <t>SERRA TICO-TICO BI-METAL 50MM 9-19D REG. AFIL. C/2</t>
  </si>
  <si>
    <t>FORMAO CHANFRADO, CABO DOIS COMPONENTES EMBORRACHADO, 25/32POL., 20MM, 1PC // MTX</t>
  </si>
  <si>
    <t>ESQUADRO, ACO CARBONO, 24POL., 600MM, 1PC // MTX</t>
  </si>
  <si>
    <t>90172000</t>
  </si>
  <si>
    <t>SERROTE BI-MATERIAL 24 600MM IRWIN</t>
  </si>
  <si>
    <t>WHITE LUB - AEROSSOL 300ML/180G</t>
  </si>
  <si>
    <t>38249941</t>
  </si>
  <si>
    <t>FECH. 1501/06 - ESP. COLONIAL E-COAT</t>
  </si>
  <si>
    <t>TRINCHA PINT 312 X 2    CB.BR.ROMA</t>
  </si>
  <si>
    <t>FECH.  803/33 - ESP. PRETO FOSCO (G)</t>
  </si>
  <si>
    <t>PARAFUSO CHIPBOARD 4,5X25 ZINCADO AMARELO</t>
  </si>
  <si>
    <t>FRESA FECHADURA 6MM 35MM 120/12</t>
  </si>
  <si>
    <t>82077010</t>
  </si>
  <si>
    <t>MACACO HIDRAULICO TIPO GARRAFA, 8T, ELEVACAO 200-385MM, 1PC // SPARTA</t>
  </si>
  <si>
    <t>84254200</t>
  </si>
  <si>
    <t>CERA DE ABELHA (250GR) - LACXE</t>
  </si>
  <si>
    <t>15219019</t>
  </si>
  <si>
    <t>PUX IRIS PRETO FOSCO 128</t>
  </si>
  <si>
    <t>FITA CREPE 24MMX50M</t>
  </si>
  <si>
    <t>48114110</t>
  </si>
  <si>
    <t>FECH.  813/33 - ESP. INOX</t>
  </si>
  <si>
    <t>MF-12 - ANGELIM - SP - 200 G</t>
  </si>
  <si>
    <t>MF-12 - BRANCA - SP - 200 g</t>
  </si>
  <si>
    <t>MF-12 - CEREJEIRA - SP - 200 g</t>
  </si>
  <si>
    <t>MF-12 - IMBUIA - SP - 200 g</t>
  </si>
  <si>
    <t>MF-12 - IPE - SP - 200 g</t>
  </si>
  <si>
    <t>MF-12 - JATOBA - SP - 200 g</t>
  </si>
  <si>
    <t>MF-12 - MOGNO - SP - 200 g</t>
  </si>
  <si>
    <t>CORREDICA TELESC LIGHT 35X350 - ZINCADO</t>
  </si>
  <si>
    <t>FITA CREPE 48MMX50M</t>
  </si>
  <si>
    <t>TELHA CUMEEIRA VERMELHA IMPERMEABILIZADA</t>
  </si>
  <si>
    <t>GUEPARCOLOR SUPER METALICO DOURADO C/06 UN</t>
  </si>
  <si>
    <t>NIVEL DE ALUMINIO FERROVIARIO, REFORCADO, 2 BOLHAS + 1 ROTATIVA, 16POL., 400MM, 1PC // MTX</t>
  </si>
  <si>
    <t>ALMAFLEX PU40 PRETO 387G</t>
  </si>
  <si>
    <t>PARAFUSO CHIPBOARD 4X16 ZINCADO BRANCO</t>
  </si>
  <si>
    <t>CERA DE CARNAUBA 250GR LACXE</t>
  </si>
  <si>
    <t>15211000</t>
  </si>
  <si>
    <t>DISCO LIXA ALUMINA 115MM GRAO 60 500/50</t>
  </si>
  <si>
    <t>68053020</t>
  </si>
  <si>
    <t>FECHADURA CHAVE ESCAMOT C/BATENTE 16X31</t>
  </si>
  <si>
    <t>MF-12 - BRANCA 400 g</t>
  </si>
  <si>
    <t>MF-12 - CEREJEIRA 400 g</t>
  </si>
  <si>
    <t>MF-12 - IMBUIA 400 g</t>
  </si>
  <si>
    <t>MF-12 - MOGNO 400 g</t>
  </si>
  <si>
    <t>GUEPARCOLOR ALTA TEMPERATURA BRANCO C/06 UN</t>
  </si>
  <si>
    <t>32089010</t>
  </si>
  <si>
    <t>GUEPARCOLOR ALTA TEMPERATURA PRETO C/06 UN</t>
  </si>
  <si>
    <t>PARAFUSO CHIPBOARD 3,5X25 ZINCADO AMARELO</t>
  </si>
  <si>
    <t>FECH.  813/33 - ESP. PRETO FOSCO</t>
  </si>
  <si>
    <t>MEIA TELHA AMERICANA BRANCA IMPERMEABILIZADA</t>
  </si>
  <si>
    <t>MEIA TELHA AMERICANA VERMELHA IMPERMEABILIZADA</t>
  </si>
  <si>
    <t>JOGO SERRA COPO C/8 64-127MM EST 20/1</t>
  </si>
  <si>
    <t>SERROTE TEMPERADO GUEPAR 18"</t>
  </si>
  <si>
    <t>ESQUADRO COM NIVEL 12  PLUS 60/12</t>
  </si>
  <si>
    <t>TERMINAL LATERAL GRES BRANCA 1 FACE EXTRA</t>
  </si>
  <si>
    <t>OCULOS DE PROTECAO INCOLOR SKY DELTA PLUS</t>
  </si>
  <si>
    <t>90049020</t>
  </si>
  <si>
    <t>GUEPARCOLOR SUPER PRIMER C/06 UN.</t>
  </si>
  <si>
    <t>CUMEEIRA GRES PALHA EXTRA</t>
  </si>
  <si>
    <t>CUMEEIRA IMPERMEABILIZADA (nao lavar com produtos quimicos)</t>
  </si>
  <si>
    <t>SUPORTE DISCO LIXA PLUMA 125MM 120/30</t>
  </si>
  <si>
    <t>82059000</t>
  </si>
  <si>
    <t>FECH.  823/33 - ESP. OXIDADO E-COAT</t>
  </si>
  <si>
    <t>LONA DE POLIETILENO AZUL 80G/M² GUEPAR 4 X 4 MTS</t>
  </si>
  <si>
    <t>BOT FLEX NOBUCK 3G PU BI B/PP MARROM N43</t>
  </si>
  <si>
    <t>BOT FLEX NOBUCK 3G PU BI B/PP MARROM N44</t>
  </si>
  <si>
    <t>FECH.  302 LG - NIQUELADO CCSD</t>
  </si>
  <si>
    <t>LIXA DISCO PLUMA 230MM #60 FLEX CF 400/100</t>
  </si>
  <si>
    <t>68053090</t>
  </si>
  <si>
    <t>DISCO DIAM LISO 110MM PLUS 100/10</t>
  </si>
  <si>
    <t>68042119</t>
  </si>
  <si>
    <t>FECH. 1006 ROS. REDONDA ANTIQUE E-COAT</t>
  </si>
  <si>
    <t>JOGO CHAVE FENDA/PHILLIPS C/4 EMB PLUS 40/5</t>
  </si>
  <si>
    <t>82054000</t>
  </si>
  <si>
    <t>FECH.  302 - NIQUELADO CCSD</t>
  </si>
  <si>
    <t>TRENA 5M LARANJA LUFKIN</t>
  </si>
  <si>
    <t>MACHADO LENHADOR 3LB C/CABO FIBRA - GUEPAR</t>
  </si>
  <si>
    <t>82014000</t>
  </si>
  <si>
    <t>LIXA DISCO PLUMA 230MM #80 FLEX CF 400/100</t>
  </si>
  <si>
    <t>LONA DE POLIETILENO AZUL 80G/M² GUEPAR 5 X 6 MTS</t>
  </si>
  <si>
    <t>FRESA CONICA 8MM PLUS 240/12</t>
  </si>
  <si>
    <t>LIXA DISCO PLUMA 230MM #100 FLEX CF 400/100</t>
  </si>
  <si>
    <t>LIXA DISCO PLUMA 230MM #150 FLEX CF 400/100</t>
  </si>
  <si>
    <t>FECH. 1006S WC ROS. QUAD. CLASSIC - CROMADO</t>
  </si>
  <si>
    <t>DISCO LIXA ALUMINA 180MM GRAO 50 500/50</t>
  </si>
  <si>
    <t>68052000</t>
  </si>
  <si>
    <t>DISCO LIXA ALUMINA 180MM GRAO 60 500/50</t>
  </si>
  <si>
    <t>BROCA PARA CONCRETO, PONTA TUNGSTENIO E COBALTO, 16 X 310MM, ENCAIXE SDS PLUS, 1PC // GROSS</t>
  </si>
  <si>
    <t>FECH.  823/33 - ESP. INOX</t>
  </si>
  <si>
    <t>FECH.  813/33 - RQ1 PRETO FOSCO</t>
  </si>
  <si>
    <t>FECH. 1006S WC ROS.RED.CLASSIC - BLACK</t>
  </si>
  <si>
    <t>LIXA DISCO PLUMA 230MM #120 FLEX CF 400/100</t>
  </si>
  <si>
    <t>LIXA DISCO PLUMA 230MM #180 FLEX CF 400/100</t>
  </si>
  <si>
    <t>FECH. 1801/09 - ESP. OXIDADO E-COAT (G)</t>
  </si>
  <si>
    <t>VIEUXCHENE CANELA 500ML LACXE</t>
  </si>
  <si>
    <t>32099019</t>
  </si>
  <si>
    <t>LIXA DISCO PLUMA 230MM #240 FLEX CF 400/100</t>
  </si>
  <si>
    <t>VIEUXCHENE MOGNO 500ML LACXE</t>
  </si>
  <si>
    <t>VIEUXCHENE PRETO 500ML LACXE</t>
  </si>
  <si>
    <t>GUEPARCOLOR MULTIACAO VERNIZ BRILHANTE C/06 UN</t>
  </si>
  <si>
    <t>ARCO DE SERRA REG. No 12 PROF. CROMADO GUEPAR</t>
  </si>
  <si>
    <t>FECH. 1005 T. ROLETE ROS. REDONDA BLACK</t>
  </si>
  <si>
    <t>LATERAL TETTOLIT PALHA 1 FACE EXTRA</t>
  </si>
  <si>
    <t>PARAFUSO DESEMPENO OMIL</t>
  </si>
  <si>
    <t>LAMINA P/PLAINA MAKITA KARBONCJ2PC</t>
  </si>
  <si>
    <t>ADL DISTRIBUIDORA E ATACADISTA DE MATERIAL DE CONSTRUCAO E</t>
  </si>
  <si>
    <t>ARG COLAFIX ACI IMAR 20KG PL</t>
  </si>
  <si>
    <t>32149000</t>
  </si>
  <si>
    <t>ARGAMASSA E CIMENTO</t>
  </si>
  <si>
    <t>TALHADEIRA CHATA, ACO RAPIDO, ENCAIXE SDS PLUS, 14 X 40 X 250MM, 1PC // MTX</t>
  </si>
  <si>
    <t>LAMINA P/PLAINA BOSCH KARBON CJ2PC</t>
  </si>
  <si>
    <t>SERRA TICO-TICO BI-METAL 50MM 14D C/2</t>
  </si>
  <si>
    <t>LIXA DISCO PLUMA 230MM #220 FLEX CF 400/100</t>
  </si>
  <si>
    <t>FORMAO CHANFRADO, CABO DOIS COMPONENTES EMBORRACHADO, 35/64POL., 14MM, 1PC // MTX</t>
  </si>
  <si>
    <t>FRESA RETA 6MM PLUS 240/12</t>
  </si>
  <si>
    <t>DISCO FLAP 4.1/2  ZIRCONIA 80 100/10</t>
  </si>
  <si>
    <t>68051000</t>
  </si>
  <si>
    <t>ESQUADRO, METALICO, 20POL., 500MM, 1PC // SPARTA</t>
  </si>
  <si>
    <t>FORMAO CHANFRADO, CABO DUPLA INJECAO EMBORRACHADO, ENCAIXE 1/2POL., 12MM, 1PC // MTX</t>
  </si>
  <si>
    <t>BROCA PARA CONCRETO, PONTA TUNGSTENIO E COBALTO, 14 X 310MM, ENCAIXE SDS PLUS, 1PC // GROSS</t>
  </si>
  <si>
    <t>GUEPARCOLOR MULTIACAO ALUMINIO C/06 UN</t>
  </si>
  <si>
    <t>GUEPARCOLOR MULTIACAO BRANCO FOSCO C/06 UN</t>
  </si>
  <si>
    <t>SERROTE TEMPERADO GUEPAR 20"</t>
  </si>
  <si>
    <t>FORMAO CHANFRADO, CABO DUPLA INJECAO EMBORRACHADO, 7/8POL., 22MM, 1PC // MTX</t>
  </si>
  <si>
    <t>MANDRIL PROFISSIONAL APERTO RAPIDO GUEPAR 1/2"</t>
  </si>
  <si>
    <t>84661000</t>
  </si>
  <si>
    <t>LIXA MASSA 100 3M</t>
  </si>
  <si>
    <t>LONA DE POLIETILENO AZUL 80G/M² GUEPAR 3 X 4 MTS</t>
  </si>
  <si>
    <t>TRINCHA PINT 312 X 1    CB BR.ROMA</t>
  </si>
  <si>
    <t>RODIZIO PP 50MM 60KG C/FREIO 100/1</t>
  </si>
  <si>
    <t>TESOURA ACO CABO PP 10  144/12</t>
  </si>
  <si>
    <t>82130000</t>
  </si>
  <si>
    <t>VARAL DE CHAO REFORCADO RETRATIL SEM ABAS SLIM MOR</t>
  </si>
  <si>
    <t>73239900</t>
  </si>
  <si>
    <t>PARAFUSO CHIPBOARD 3,5X16 ZINCADO AMARELO</t>
  </si>
  <si>
    <t>JOGO CHAVE FENDA/PHILLIPS C/6 PL PLUS 20/05</t>
  </si>
  <si>
    <t>ESQUADRO, ACO CARBONO, 12POL., 300MM, 1PC // MTX</t>
  </si>
  <si>
    <t>LAMPADA LED  40W 6500K ELGIN</t>
  </si>
  <si>
    <t>ESTILETE PROF. ALUMINIO C/GUIA ACO 18MM GUEPAR</t>
  </si>
  <si>
    <t>82119390</t>
  </si>
  <si>
    <t>FITA ISOLANTE IMPERIAL SLIM 18MMX20M 3M</t>
  </si>
  <si>
    <t>39191020</t>
  </si>
  <si>
    <t>TALHADEIRA CHATA, ACO RAPIDO, ENCAIXE SDS PLUS, 14 X 20 X 250MM, 1PC // MTX</t>
  </si>
  <si>
    <t>CADEADO 30 MM - LATAO MACICO - ENCARTELADO</t>
  </si>
  <si>
    <t>83011000</t>
  </si>
  <si>
    <t>REGUA INOX 100 CM 40X11/4 THOMPSO</t>
  </si>
  <si>
    <t>DISCO LIXA ALUMINA 115MM GRAO 50 50/10</t>
  </si>
  <si>
    <t>LIXA DISCO PLUMA 125 #40 FLEX SF 2000/100</t>
  </si>
  <si>
    <t>DISCO LIXA ALUMINA 115MM GRAO 36 500/50</t>
  </si>
  <si>
    <t>ORBIVED SILICONE ACÉTICO INCOLOR 50G - BLISTER</t>
  </si>
  <si>
    <t>32141010</t>
  </si>
  <si>
    <t>DISCO LIXA ALUMINA 180MM GRAO 36 500/50</t>
  </si>
  <si>
    <t>FECH. 1004 ROSETA OXIDADO E-COAT ENC</t>
  </si>
  <si>
    <t>PILHA ALCAL.PALITO AAA DURACELL  6X2EN</t>
  </si>
  <si>
    <t>85061019</t>
  </si>
  <si>
    <t>PILHA ALCAL.PEQUENA DURACELL  6X2</t>
  </si>
  <si>
    <t>SACAPOLIAS, ACO CARBONO, CROMADA, 3 GARRAS ARTICULADAS, 150MM, 1PC // SPARTA</t>
  </si>
  <si>
    <t>82055900</t>
  </si>
  <si>
    <t>CHAVE GRIFO GUEPAR 18"</t>
  </si>
  <si>
    <t>82041200</t>
  </si>
  <si>
    <t>CADEADO 45 MM - ZAMAC (E-COAT) - ENC.</t>
  </si>
  <si>
    <t>CUMEEIRA GRES CINZA EXTRA</t>
  </si>
  <si>
    <t>CUMEEIRA GRES VITRIFICADA VERMELHA EXTRA</t>
  </si>
  <si>
    <t>LIXA MASSA 80 3M</t>
  </si>
  <si>
    <t>FRESA CONICA 10MM PLUS 240/12</t>
  </si>
  <si>
    <t>FECH. 1004 ROSETA INOX ENC</t>
  </si>
  <si>
    <t>TERMINAL LATERAL VITRIFICADA VERMELHA EXTRA</t>
  </si>
  <si>
    <t>BROCA PARA CONCRETO, PONTA TUNGSTENIO E COBALTO, 12 X 310MM, ENCAIXE SDS PLUS, 1PC // GROSS</t>
  </si>
  <si>
    <t>CADEADO 35 MM - ZAMAC (E-COAT) - HASTE LONGA ENC.</t>
  </si>
  <si>
    <t>FECHADURA CHAVE ESCAMOT C/BATENTE 16X22</t>
  </si>
  <si>
    <t>GRAMPO SARGENTO  80X250MM BRASFORT</t>
  </si>
  <si>
    <t>82057000</t>
  </si>
  <si>
    <t>RODIZIO PP 75MM 70KG S/FREIO 80/1</t>
  </si>
  <si>
    <t>TRENA 3M LARANJA LUFKIN</t>
  </si>
  <si>
    <t>BUCHA FIXACAO 08 TIJOLO FURADO C500 SFOR</t>
  </si>
  <si>
    <t>39269090</t>
  </si>
  <si>
    <t>TRINCHA PINT 312 X 1 1/2CB BR.ROMA</t>
  </si>
  <si>
    <t>CADEADO 35 MM - LATAO MACICO - ENCARTELADO</t>
  </si>
  <si>
    <t>ESPATULA PLASTICO 5  PLUS 288/24</t>
  </si>
  <si>
    <t>BROCA PARA CONCRETO, PONTA TUNGSTENIO E COBALTO, 8 X 110MM, ENCAIXE SDS PLUS, 1PC // GROSS</t>
  </si>
  <si>
    <t>CADEADO 25 MM - ZAMAC (E-COAT) - ENC.</t>
  </si>
  <si>
    <t>CADEADO 25 MM - ZAMAC (E-COAT) - ENCARTELADO</t>
  </si>
  <si>
    <t>JOGO C/5 ESCOVAS CIRCULARES 36/6</t>
  </si>
  <si>
    <t>96035000</t>
  </si>
  <si>
    <t>FECH. 1006S WC ROS. QUAD. CLASSIC - ANTIQUE E-COAT</t>
  </si>
  <si>
    <t>LIXA DISCO PLUMA 125 #240 FLEX SF 100/10</t>
  </si>
  <si>
    <t>LIXA DISCO PLUMA 125 #80 FLEX SF 2000/100</t>
  </si>
  <si>
    <t>MACHADINHA CABO FIBRA - GUEPAR</t>
  </si>
  <si>
    <t>CADEADO 50 MM - LATAO MACICO - ENCARTELADO</t>
  </si>
  <si>
    <t>TETTOLIT TELHA GRES CARAMELO 2 FACES EXTRA</t>
  </si>
  <si>
    <t>ESTILETE REFORCADO C/GUIA ACO 18MM GUEPAR</t>
  </si>
  <si>
    <t>SERROTE TEMPERADO GUEPAR 22"</t>
  </si>
  <si>
    <t>JOELHO 45o ESG. TIGRE 75MM</t>
  </si>
  <si>
    <t>39174090</t>
  </si>
  <si>
    <t>CADEADO 35 MM - ZAMAC (E-COAT) - ENC.</t>
  </si>
  <si>
    <t>ESCOVA COPO M14X2 3  ENTR PLUS 60/1</t>
  </si>
  <si>
    <t>BROCA ACO RAPIDO STANDARD, PARA METAL, POLIDA, HASTE CILINDRICA, 3,5MM, 10PCS // MTX</t>
  </si>
  <si>
    <t>LIXA DISCO PLUMA 125 #120 FLEX SF 2000/100</t>
  </si>
  <si>
    <t>LIXA DISCO PLUMA 125 #60 FLEX SF 100/10</t>
  </si>
  <si>
    <t>LIXA DISCO PLUMA 180MM #80 FLEX SF 100/10</t>
  </si>
  <si>
    <t>ALICATE REBITADOR 17  FLEX 10/5</t>
  </si>
  <si>
    <t>LIXA DISCO PLUMA 125 #100 FLEX SF 100/10</t>
  </si>
  <si>
    <t>ESQUADRO, METALICO, 12POL., 300MM, 1PC // SPARTA</t>
  </si>
  <si>
    <t>FECH. 1006S WC ROS.RED.CLASSIC - INOX</t>
  </si>
  <si>
    <t>ALICATE BOMBA D´AGUA PROFISSIONAL - GUEPAR 12"</t>
  </si>
  <si>
    <t>DISCO LIXA ALUMINA 115MM GRAO 80 50/10</t>
  </si>
  <si>
    <t>LIXA MASSA 120 3M</t>
  </si>
  <si>
    <t>LIXA MASSA 150 3M</t>
  </si>
  <si>
    <t>LIXA MASSA 180 3M</t>
  </si>
  <si>
    <t>LIXA MASSA 220 3M</t>
  </si>
  <si>
    <t>LAPIS CARPINTEIRO C/24 UNID. GUEPAR</t>
  </si>
  <si>
    <t>96091000</t>
  </si>
  <si>
    <t>ROLO ANTI-GOTA | 23cm | 321/10 | ATLAS</t>
  </si>
  <si>
    <t>96034010</t>
  </si>
  <si>
    <t>JOELHO 90o ESG. TIGRE 75MM</t>
  </si>
  <si>
    <t>CADEADO 30 MM - ZAMAC (E-COAT) - ENC.</t>
  </si>
  <si>
    <t>CHAVE GRIFO GUEPAR 14"</t>
  </si>
  <si>
    <t>TERMINAL LATERAL IMPERMEABILIZADO (nao lavar com produtos quimicos)</t>
  </si>
  <si>
    <t>CADEADO 20 MM - ZAMAC (E-COAT) - ENC.</t>
  </si>
  <si>
    <t>CADEADO 40 MM - LATAO MACICO - ENCARTELADO</t>
  </si>
  <si>
    <t>SUPORTE DISCO PLUMA C/VENTIL 5 -125MM 100/25</t>
  </si>
  <si>
    <t>PINO MACHO 2P 10A ANGUL.GIG.CZ ILUMI C10</t>
  </si>
  <si>
    <t>85369090</t>
  </si>
  <si>
    <t>BUCHA FIXACAO 08 C/ANEL USAF</t>
  </si>
  <si>
    <t>TERMINAL LATERAL GRES CINZA 1 FACE EXTRA</t>
  </si>
  <si>
    <t>BROCA ACO RAPIDO STANDARD, PARA METAL, POLIDA, HASTE CILINDRICA, 3MM, 10PCS // MTX</t>
  </si>
  <si>
    <t>BUCHA FIXACAO 10 C/ANEL USAF  C500</t>
  </si>
  <si>
    <t>PINO FEMEA 2P+T 10A CZ JETCON  C10</t>
  </si>
  <si>
    <t>85366990</t>
  </si>
  <si>
    <t>TRINCHA PINT 312 X  3/4 CB BR.ROMA</t>
  </si>
  <si>
    <t>ABRACADEIRA NYLON PRETA 3,6X200 C/100 PLUS 100/50</t>
  </si>
  <si>
    <t>GRAMPOS P/TR150 - 5/16 STANLEY</t>
  </si>
  <si>
    <t>GRAMPOS PARA GRAMPEADORES, TIPO 53, TEMPERADO, 14MM, 1000 PCS // MTX</t>
  </si>
  <si>
    <t>ARCO SERRA LENHADOR P/PODA GUEPAR 24"</t>
  </si>
  <si>
    <t>LONA DE POLIETILENO AZUL 80G/M² GUEPAR 3 X 3 MTS</t>
  </si>
  <si>
    <t>LONA DE POLIETILENO AZUL 80G/M² GUEPAR 2 X 2 MTS</t>
  </si>
  <si>
    <t>MANDRIL PROFISSIONAL APERTO RAPIDO GUEPAR 3/8"</t>
  </si>
  <si>
    <t>BROCA PARA CONCRETO, PONTA TUNGSTENIO E COBALTO, 6 X 160MM, ENCAIXE SDS PLUS, 1PC // GROSS</t>
  </si>
  <si>
    <t>PINO MACHO 2P 10A CZ RADIAL EN       C10</t>
  </si>
  <si>
    <t>BUCHA FIXACAO 06 TIJOLO FURADO C500</t>
  </si>
  <si>
    <t>BUCHA FIXACAO 12 C/ANEL USAF  C250</t>
  </si>
  <si>
    <t>MANDRIL C/CHAVE GUEPAR 1/2</t>
  </si>
  <si>
    <t>BROCA PARA CONCRETO, PONTA TUNGSTENIO E COBALTO, 6 X 110MM, ENCAIXE SDS PLUS, 1PC // GROSS</t>
  </si>
  <si>
    <t>LAMPADA LED   9,0W 6500K ELGIN       C10</t>
  </si>
  <si>
    <t>LIXA DISCO PLUMA 125 #180 FLEX SF 100/10</t>
  </si>
  <si>
    <t>BUCHA FIXACAO 08 UBS USAF     C100</t>
  </si>
  <si>
    <t>TRINCHA PINT 312 X  1/2 CB BR.ROMA</t>
  </si>
  <si>
    <t>ABRACADEIRA NYLON PRETA 3,6X250 C/100 PLUS 100/50</t>
  </si>
  <si>
    <t>GRAMPOS PARA GRAMPEADORES, TIPO 53, TEMPERADO, 10MM, 1000 PCS // MTX</t>
  </si>
  <si>
    <t>BUCHA FIXACAO 07 C/ANEL USAF</t>
  </si>
  <si>
    <t>CADEADO 20 MM - ZAMAC (E-COAT) - ENCARTELADO</t>
  </si>
  <si>
    <t>CORALBASE AN ACOTONE CONC -XY1- | AMARELO OXIDO | 720ml | CORAL</t>
  </si>
  <si>
    <t>32064990</t>
  </si>
  <si>
    <t>CADEADO 30 MM - ZAMAC (E-COAT) - HASTE LONGA ENC.</t>
  </si>
  <si>
    <t>GRAMPOS PARA GRAMPEADORES, TIPO 53, TEMPERADO, 8MM, 1000 PCS // MTX</t>
  </si>
  <si>
    <t>LIXA DISCO PLUMA 180MM #40 FLEX SF 100/10</t>
  </si>
  <si>
    <t>ESPATULA RETANG CROMADA 12  60/10</t>
  </si>
  <si>
    <t>LUBIAN NUMERAL 1 PRETO 10CM</t>
  </si>
  <si>
    <t>REGUA INOX 060 CM 24X11/8 BRASFORT</t>
  </si>
  <si>
    <t>JOGO CHAVE FENDA/PHILLIPS C/4 PL PLUS 40/5</t>
  </si>
  <si>
    <t>MISTURADOR P/ARGAMASSA PROF. C/ENCAIXE SDS GUEPAR</t>
  </si>
  <si>
    <t>ABRACADEIRA NYLON PRETA 2,5X200 C/100 PLUS 200/100</t>
  </si>
  <si>
    <t>CORALBASE AN ACOTONE CONC -NO1- | PRETO | 720ml | CORAL</t>
  </si>
  <si>
    <t>CADEADO SEGR. 25 MM - ZAMAC (E-COAT) - ENC.</t>
  </si>
  <si>
    <t>BUCHA FIXACAO 06 UBS USAF     C200</t>
  </si>
  <si>
    <t>LIXA DISCO PLUMA 125 #600 FLEX SF 100/10</t>
  </si>
  <si>
    <t>BANDEJA P/ PINTURA | 2304-230 | TIGRE</t>
  </si>
  <si>
    <t>GRAMPOS P/TR150 - 1/4 STANLEY</t>
  </si>
  <si>
    <t>CORALBASE AN ACOTONE CONC -GR1- | VERDE 720ml | CORAL</t>
  </si>
  <si>
    <t>32041700</t>
  </si>
  <si>
    <t>LUBIAN NUMERAL 0 PRETO 10CM</t>
  </si>
  <si>
    <t>LUBIAN NUMERAL 1 BRANCO 10CM</t>
  </si>
  <si>
    <t>LUBIAN NUMERAL 5 PRETO 10CM</t>
  </si>
  <si>
    <t>LUBIAN NUMERAL 6 PRETO 10CM</t>
  </si>
  <si>
    <t>LUBIAN NUMERAL 7 PRETO 10CM</t>
  </si>
  <si>
    <t>BROCA PARA CONCRETO, PONTA TUNGSTENIO E COBALTO, 12 X 210MM, ENCAIXE SDS PLUS, 1PC // GROSS</t>
  </si>
  <si>
    <t>LIXA DISCO PLUMA 180MM #60 FLEX SF 100/10</t>
  </si>
  <si>
    <t>SOQUETE MAG 65 x 8MM C/5 80/10</t>
  </si>
  <si>
    <t>82042000</t>
  </si>
  <si>
    <t>SOQUETE MAG 65 x 6MM C/5 100/20</t>
  </si>
  <si>
    <t>COLHER PEDREIRO CANTO RETO 8  FLEX 120/12</t>
  </si>
  <si>
    <t>CORALBASE AN ACOTONE CONC -YE1- | AMARELO | 720ml | CORAL</t>
  </si>
  <si>
    <t>PONTEIRA GRES PALHA EXTRA</t>
  </si>
  <si>
    <t>TELHA CUMEEIRA 3 VIAS 1 VERMELHA (IMPERMEABILIZADA)</t>
  </si>
  <si>
    <t>CORALBASE AN ACOTONE CONC -UM1- | MARRON | 720ml | CORAL</t>
  </si>
  <si>
    <t>MOSTRUARIO RFC ALUMINIOS</t>
  </si>
  <si>
    <t>84839000</t>
  </si>
  <si>
    <t>EMPRE+1:30SA</t>
  </si>
  <si>
    <t>Federal consolidado | Matriz + Filial</t>
  </si>
  <si>
    <t>Linha</t>
  </si>
  <si>
    <t>200 mil</t>
  </si>
  <si>
    <t>250 mil</t>
  </si>
  <si>
    <t>300 mil</t>
  </si>
  <si>
    <t>Obs</t>
  </si>
  <si>
    <t>Fonte</t>
  </si>
  <si>
    <t>Receita total matriz + filial</t>
  </si>
  <si>
    <t>Matriz 100 mil + filial cenário</t>
  </si>
  <si>
    <t>PIS bruto consolidado</t>
  </si>
  <si>
    <t>Crédito mensal PIS do estoque</t>
  </si>
  <si>
    <t>Abate no federal consolidado</t>
  </si>
  <si>
    <t>PIS líquido consolidado</t>
  </si>
  <si>
    <t>Cofins bruta consolidada</t>
  </si>
  <si>
    <t>Crédito mensal Cofins do estoque</t>
  </si>
  <si>
    <t>Cofins líquida consolidada</t>
  </si>
  <si>
    <t>Base IRPJ consolidada</t>
  </si>
  <si>
    <t>Federal apurado junto</t>
  </si>
  <si>
    <t>IRPJ consolidado</t>
  </si>
  <si>
    <t>Base CSLL consolidada</t>
  </si>
  <si>
    <t>CSLL consolidada</t>
  </si>
  <si>
    <t>IPI da filial</t>
  </si>
  <si>
    <t>IPI permanece na filial</t>
  </si>
  <si>
    <t>Total federal líquido consolidado</t>
  </si>
  <si>
    <t>Dashboard consolidado | Matriz + Filial + Federal</t>
  </si>
  <si>
    <t>Leitura</t>
  </si>
  <si>
    <t>ICMS matriz líquido</t>
  </si>
  <si>
    <t>Mesmo cenário, matriz fixa em 100 mil</t>
  </si>
  <si>
    <t>ICMS do estoque fica somente na matriz</t>
  </si>
  <si>
    <t>ICMS filial benefício</t>
  </si>
  <si>
    <t>ICMS da filial não usa o crédito do estoque</t>
  </si>
  <si>
    <t>Federal líquido consolidado</t>
  </si>
  <si>
    <t>Federal já sai consolidado</t>
  </si>
  <si>
    <t>Carga tributária total</t>
  </si>
  <si>
    <t>Carga total pronta p dashboard</t>
  </si>
  <si>
    <t>Receita total grupo</t>
  </si>
  <si>
    <t>Alíquota efetiva total</t>
  </si>
  <si>
    <t>Sobre a receita total</t>
  </si>
  <si>
    <t>Resultado operacional grupo antes dos tributos</t>
  </si>
  <si>
    <t>Matriz sem despesa adicional na simulação</t>
  </si>
  <si>
    <t>Filial nova no benefício | ICMS sem crédito de estoque na filial</t>
  </si>
  <si>
    <t>Faturamento de saída</t>
  </si>
  <si>
    <t>Compra p industrialização</t>
  </si>
  <si>
    <t>15% da saída</t>
  </si>
  <si>
    <t>ICMS benefício 3%</t>
  </si>
  <si>
    <t>PIS bruto</t>
  </si>
  <si>
    <t>Cofins bruta</t>
  </si>
  <si>
    <t>IPI 3,25%</t>
  </si>
  <si>
    <t>IRPJ filial isolado apenas referência</t>
  </si>
  <si>
    <t>Só referência. Federal consolida em outra aba</t>
  </si>
  <si>
    <t>CSLL filial isolada apenas referência</t>
  </si>
  <si>
    <t>Ferragens de saida - base consolidada KI Angelim + Multi Madeiras</t>
  </si>
  <si>
    <t>Objetivo</t>
  </si>
  <si>
    <t>Consolidar as saidas de ferragens das duas empresas com base nos NCMs do Decreto 28.494/2001 para ajuste de calculo do ICMS.</t>
  </si>
  <si>
    <t>Premissa legal</t>
  </si>
  <si>
    <t>Operacoes internas com os NCMs do anexo do decreto tem carga efetiva de 14%, sendo 2% destinados ao FECP.</t>
  </si>
  <si>
    <t>Indicador</t>
  </si>
  <si>
    <t>Valor</t>
  </si>
  <si>
    <t>Itens de saida enquadrados</t>
  </si>
  <si>
    <t>Valor total de saida</t>
  </si>
  <si>
    <t>ICMS real informado nos XMLs</t>
  </si>
  <si>
    <t>ICMS teorico pelo decreto 14%</t>
  </si>
  <si>
    <t>ICMS teorico por aliquota cheia 22%</t>
  </si>
  <si>
    <t>Diferenca 22% menos 14%</t>
  </si>
  <si>
    <t>Aliquota efetiva real observada</t>
  </si>
  <si>
    <t>Aliquota decreto</t>
  </si>
  <si>
    <t>Consolidado mensal</t>
  </si>
  <si>
    <t>Referencia_Mes</t>
  </si>
  <si>
    <t>Qtde_Itens</t>
  </si>
  <si>
    <t>Valor_Saida</t>
  </si>
  <si>
    <t>ICMS_Real</t>
  </si>
  <si>
    <t>ICMS_Decreto_14</t>
  </si>
  <si>
    <t>ICMS_Cheio_22</t>
  </si>
  <si>
    <t>Diferenca_22_menos_14</t>
  </si>
  <si>
    <t>Aliquota_Decreto_14</t>
  </si>
  <si>
    <t>Matriz | ICMS próprio e crédito mensal do estoque</t>
  </si>
  <si>
    <t>Matriz da planilha de revenda</t>
  </si>
  <si>
    <t>ICMS débito da saída</t>
  </si>
  <si>
    <t>22% sobre a saída</t>
  </si>
  <si>
    <t>ICMS crédito histórico das compras</t>
  </si>
  <si>
    <t>Base compras x crédito histórico</t>
  </si>
  <si>
    <t>ICMS líquido antes do crédito do estoque</t>
  </si>
  <si>
    <t>Crédito mensal ICMS do estoque</t>
  </si>
  <si>
    <t>Fica na matriz</t>
  </si>
  <si>
    <t>ICMS líquido final da matriz</t>
  </si>
  <si>
    <t>Após abatimento mensal do estoque</t>
  </si>
  <si>
    <t>Saldo mensal de crédito ICMS não usado</t>
  </si>
  <si>
    <t>Crédito que sobra no mês</t>
  </si>
  <si>
    <t xml:space="preserve">Meses de apropriação do crédito PIS E COFINS </t>
  </si>
  <si>
    <t>Meses de apropriação do crédito ICMS estimativa</t>
  </si>
  <si>
    <t>Crédito Cofins estoque</t>
  </si>
  <si>
    <t>Crédito PIS estoque</t>
  </si>
  <si>
    <t>Crédito ICMS estoque</t>
  </si>
  <si>
    <t>Estoque atual</t>
  </si>
  <si>
    <t>LP | alíquota CSLL</t>
  </si>
  <si>
    <t>LP | limite mensal adicional IRPJ</t>
  </si>
  <si>
    <t>LP | adicional IRPJ</t>
  </si>
  <si>
    <t>LP | alíquota IRPJ</t>
  </si>
  <si>
    <t>LP | base presumida CSLL</t>
  </si>
  <si>
    <t>LP | base presumida IRPJ</t>
  </si>
  <si>
    <t>LP | IPI sobre saída de móveis</t>
  </si>
  <si>
    <t>LP | Cofins</t>
  </si>
  <si>
    <t>LP | PIS</t>
  </si>
  <si>
    <t>Filial | ICMS benefício</t>
  </si>
  <si>
    <t>Filial | despesa média mensal</t>
  </si>
  <si>
    <t>Crédito mensal federal total</t>
  </si>
  <si>
    <t>Filial | compra p industrialização</t>
  </si>
  <si>
    <t>Crédito mensal Cofins estoque</t>
  </si>
  <si>
    <t>Filial | faturamento cenário 3</t>
  </si>
  <si>
    <t>Crédito total Cofins estoque</t>
  </si>
  <si>
    <t>Filial | faturamento cenário 2</t>
  </si>
  <si>
    <t>Crédito mensal PIS estoque</t>
  </si>
  <si>
    <t>Filial | faturamento cenário 1</t>
  </si>
  <si>
    <t>Crédito total PIS estoque</t>
  </si>
  <si>
    <t>Matriz | crédito efetivo histórico compras</t>
  </si>
  <si>
    <t>Crédito mensal ICMS estoque</t>
  </si>
  <si>
    <t>Matriz | alíquota ICMS saída</t>
  </si>
  <si>
    <t>Crédito total ICMS estoque</t>
  </si>
  <si>
    <t>Matriz | base de compras da simulação</t>
  </si>
  <si>
    <t>Créditos de transição</t>
  </si>
  <si>
    <t>Matriz | faturamento de saída</t>
  </si>
  <si>
    <t>Unificação Matriz + Filial | LP consolidado para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</si>
</sst>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\R\$\ #,##0.00;[Red]\(\R\$\ #,##0.00\);\-"/>
    <numFmt numFmtId="165" formatCode="0.0%"/>
    <numFmt numFmtId="166" formatCode="\R\$\ #,##0.00;[Red]\(\R\$\ #,##0.00\)"/>
    <numFmt numFmtId="167" formatCode="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D9EDEB"/>
      </patternFill>
    </fill>
    <fill>
      <patternFill patternType="solid">
        <fgColor rgb="FFFFF2CC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3" fillId="3" borderId="1" xfId="0" applyNumberFormat="1" applyFont="1" applyFill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5" fontId="3" fillId="3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166" fontId="3" fillId="5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66" fontId="3" fillId="3" borderId="1" xfId="0" applyNumberFormat="1" applyFont="1" applyFill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4" fillId="2" borderId="0" xfId="0" applyFont="1" applyFill="1"/>
    <xf numFmtId="0" fontId="0" fillId="0" borderId="0" xfId="0"/>
    <xf numFmtId="0" fontId="3" fillId="0" borderId="0" xfId="0" applyFont="1"/>
    <xf numFmtId="0" fontId="2" fillId="2" borderId="0" xfId="0" applyFont="1" applyFill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9" fontId="0" fillId="0" borderId="0" xfId="1" applyFont="1"/>
    <xf numFmtId="1" fontId="0" fillId="6" borderId="0" xfId="0" applyNumberFormat="1" applyFill="1" applyBorder="1" applyAlignment="1">
      <alignment vertical="center" wrapText="1"/>
    </xf>
    <xf numFmtId="3" fontId="0" fillId="6" borderId="1" xfId="0" applyNumberFormat="1" applyFill="1" applyBorder="1" applyAlignment="1">
      <alignment vertical="center" wrapText="1"/>
    </xf>
    <xf numFmtId="10" fontId="0" fillId="6" borderId="1" xfId="0" applyNumberFormat="1" applyFill="1" applyBorder="1" applyAlignment="1">
      <alignment vertical="center" wrapText="1"/>
    </xf>
    <xf numFmtId="166" fontId="0" fillId="6" borderId="1" xfId="0" applyNumberFormat="1" applyFill="1" applyBorder="1" applyAlignment="1">
      <alignment vertical="center" wrapText="1"/>
    </xf>
    <xf numFmtId="166" fontId="0" fillId="7" borderId="1" xfId="0" applyNumberForma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P2\DEP_CONSULTORIA\.PLANEJAMENTOS\1.%20EM_PROCESSO\KI%20ANGELIM\RADAR%20TRIBUTARIO\PLANILHAS\CENARIO_FINAL_KIANGELIM_CALCULOS\classificacao_compras_revenda_e_outr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unificado_matriz_filial_dashboard_l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_Classificada"/>
      <sheetName val="Resumo_Categorias"/>
      <sheetName val="Fluxo_Mensal"/>
      <sheetName val="KI_Lista"/>
      <sheetName val="MULTI_Lista"/>
      <sheetName val="Notas"/>
    </sheetNames>
    <sheetDataSet>
      <sheetData sheetId="0">
        <row r="1">
          <cell r="A1" t="str">
            <v>EMPRESA</v>
          </cell>
          <cell r="B1" t="str">
            <v>REFERENCIA_MES</v>
          </cell>
          <cell r="H1" t="str">
            <v>CATEGORIA</v>
          </cell>
          <cell r="K1" t="str">
            <v>VALOR_ENTRADA</v>
          </cell>
          <cell r="L1" t="str">
            <v>ICMS_OBSERVADO</v>
          </cell>
        </row>
        <row r="2">
          <cell r="A2" t="str">
            <v>KI ANGELIM</v>
          </cell>
          <cell r="B2" t="str">
            <v>05/2025</v>
          </cell>
          <cell r="H2" t="str">
            <v>ATIVO OU DESPESA OPERACIONAL</v>
          </cell>
          <cell r="K2">
            <v>109560</v>
          </cell>
          <cell r="L2">
            <v>0</v>
          </cell>
        </row>
        <row r="3">
          <cell r="A3" t="str">
            <v>KI ANGELIM</v>
          </cell>
          <cell r="B3" t="str">
            <v>06/2025</v>
          </cell>
          <cell r="H3" t="str">
            <v>ATIVO OU DESPESA OPERACIONAL</v>
          </cell>
          <cell r="K3">
            <v>1020</v>
          </cell>
          <cell r="L3">
            <v>0</v>
          </cell>
        </row>
        <row r="4">
          <cell r="A4" t="str">
            <v>KI ANGELIM</v>
          </cell>
          <cell r="B4" t="str">
            <v>06/2025</v>
          </cell>
          <cell r="H4" t="str">
            <v>ATIVO OU DESPESA OPERACIONAL</v>
          </cell>
          <cell r="K4">
            <v>1000</v>
          </cell>
          <cell r="L4">
            <v>0</v>
          </cell>
        </row>
        <row r="5">
          <cell r="A5" t="str">
            <v>KI ANGELIM</v>
          </cell>
          <cell r="B5" t="str">
            <v>05/2025</v>
          </cell>
          <cell r="H5" t="str">
            <v>ATIVO OU DESPESA OPERACIONAL</v>
          </cell>
          <cell r="K5">
            <v>310</v>
          </cell>
          <cell r="L5">
            <v>0</v>
          </cell>
        </row>
        <row r="6">
          <cell r="A6" t="str">
            <v>KI ANGELIM</v>
          </cell>
          <cell r="B6" t="str">
            <v>09/2025</v>
          </cell>
          <cell r="H6" t="str">
            <v>ATIVO OU DESPESA OPERACIONAL</v>
          </cell>
          <cell r="K6">
            <v>289</v>
          </cell>
          <cell r="L6">
            <v>0</v>
          </cell>
        </row>
        <row r="7">
          <cell r="A7" t="str">
            <v>KI ANGELIM</v>
          </cell>
          <cell r="B7" t="str">
            <v>05/2025</v>
          </cell>
          <cell r="H7" t="str">
            <v>ATIVO OU DESPESA OPERACIONAL</v>
          </cell>
          <cell r="K7">
            <v>229.48</v>
          </cell>
          <cell r="L7">
            <v>0</v>
          </cell>
        </row>
        <row r="8">
          <cell r="A8" t="str">
            <v>KI ANGELIM</v>
          </cell>
          <cell r="B8" t="str">
            <v>08/2025</v>
          </cell>
          <cell r="H8" t="str">
            <v>ATIVO OU DESPESA OPERACIONAL</v>
          </cell>
          <cell r="K8">
            <v>195.8</v>
          </cell>
          <cell r="L8">
            <v>0</v>
          </cell>
        </row>
        <row r="9">
          <cell r="A9" t="str">
            <v>KI ANGELIM</v>
          </cell>
          <cell r="B9" t="str">
            <v>08/2025</v>
          </cell>
          <cell r="H9" t="str">
            <v>ATIVO OU DESPESA OPERACIONAL</v>
          </cell>
          <cell r="K9">
            <v>195.8</v>
          </cell>
          <cell r="L9">
            <v>0</v>
          </cell>
        </row>
        <row r="10">
          <cell r="A10" t="str">
            <v>KI ANGELIM</v>
          </cell>
          <cell r="B10" t="str">
            <v>05/2025</v>
          </cell>
          <cell r="H10" t="str">
            <v>ATIVO OU DESPESA OPERACIONAL</v>
          </cell>
          <cell r="K10">
            <v>175</v>
          </cell>
          <cell r="L10">
            <v>0</v>
          </cell>
        </row>
        <row r="11">
          <cell r="A11" t="str">
            <v>KI ANGELIM</v>
          </cell>
          <cell r="B11" t="str">
            <v>05/2025</v>
          </cell>
          <cell r="H11" t="str">
            <v>ATIVO OU DESPESA OPERACIONAL</v>
          </cell>
          <cell r="K11">
            <v>135.80000000000001</v>
          </cell>
          <cell r="L11">
            <v>0</v>
          </cell>
        </row>
        <row r="12">
          <cell r="A12" t="str">
            <v>KI ANGELIM</v>
          </cell>
          <cell r="B12" t="str">
            <v>05/2025</v>
          </cell>
          <cell r="H12" t="str">
            <v>ATIVO OU DESPESA OPERACIONAL</v>
          </cell>
          <cell r="K12">
            <v>115</v>
          </cell>
          <cell r="L12">
            <v>0</v>
          </cell>
        </row>
        <row r="13">
          <cell r="A13" t="str">
            <v>KI ANGELIM</v>
          </cell>
          <cell r="B13" t="str">
            <v>08/2025</v>
          </cell>
          <cell r="H13" t="str">
            <v>ATIVO OU DESPESA OPERACIONAL</v>
          </cell>
          <cell r="K13">
            <v>113</v>
          </cell>
          <cell r="L13">
            <v>0</v>
          </cell>
        </row>
        <row r="14">
          <cell r="A14" t="str">
            <v>KI ANGELIM</v>
          </cell>
          <cell r="B14" t="str">
            <v>05/2025</v>
          </cell>
          <cell r="H14" t="str">
            <v>ATIVO OU DESPESA OPERACIONAL</v>
          </cell>
          <cell r="K14">
            <v>110</v>
          </cell>
          <cell r="L14">
            <v>0</v>
          </cell>
        </row>
        <row r="15">
          <cell r="A15" t="str">
            <v>KI ANGELIM</v>
          </cell>
          <cell r="B15" t="str">
            <v>05/2025</v>
          </cell>
          <cell r="H15" t="str">
            <v>ATIVO OU DESPESA OPERACIONAL</v>
          </cell>
          <cell r="K15">
            <v>94.24</v>
          </cell>
          <cell r="L15">
            <v>0</v>
          </cell>
        </row>
        <row r="16">
          <cell r="A16" t="str">
            <v>KI ANGELIM</v>
          </cell>
          <cell r="B16" t="str">
            <v>05/2025</v>
          </cell>
          <cell r="H16" t="str">
            <v>ATIVO OU DESPESA OPERACIONAL</v>
          </cell>
          <cell r="K16">
            <v>92</v>
          </cell>
          <cell r="L16">
            <v>0</v>
          </cell>
        </row>
        <row r="17">
          <cell r="A17" t="str">
            <v>KI ANGELIM</v>
          </cell>
          <cell r="B17" t="str">
            <v>05/2025</v>
          </cell>
          <cell r="H17" t="str">
            <v>ATIVO OU DESPESA OPERACIONAL</v>
          </cell>
          <cell r="K17">
            <v>89.9</v>
          </cell>
          <cell r="L17">
            <v>0</v>
          </cell>
        </row>
        <row r="18">
          <cell r="A18" t="str">
            <v>KI ANGELIM</v>
          </cell>
          <cell r="B18" t="str">
            <v>05/2025</v>
          </cell>
          <cell r="H18" t="str">
            <v>ATIVO OU DESPESA OPERACIONAL</v>
          </cell>
          <cell r="K18">
            <v>89.42</v>
          </cell>
          <cell r="L18">
            <v>0</v>
          </cell>
        </row>
        <row r="19">
          <cell r="A19" t="str">
            <v>KI ANGELIM</v>
          </cell>
          <cell r="B19" t="str">
            <v>05/2025</v>
          </cell>
          <cell r="H19" t="str">
            <v>ATIVO OU DESPESA OPERACIONAL</v>
          </cell>
          <cell r="K19">
            <v>79</v>
          </cell>
          <cell r="L19">
            <v>0</v>
          </cell>
        </row>
        <row r="20">
          <cell r="A20" t="str">
            <v>KI ANGELIM</v>
          </cell>
          <cell r="B20" t="str">
            <v>05/2025</v>
          </cell>
          <cell r="H20" t="str">
            <v>ATIVO OU DESPESA OPERACIONAL</v>
          </cell>
          <cell r="K20">
            <v>34.92</v>
          </cell>
          <cell r="L20">
            <v>0</v>
          </cell>
        </row>
        <row r="21">
          <cell r="A21" t="str">
            <v>KI ANGELIM</v>
          </cell>
          <cell r="B21" t="str">
            <v>09/2025</v>
          </cell>
          <cell r="H21" t="str">
            <v>ATIVO OU DESPESA OPERACIONAL</v>
          </cell>
          <cell r="K21">
            <v>17.91</v>
          </cell>
          <cell r="L21">
            <v>0</v>
          </cell>
        </row>
        <row r="22">
          <cell r="A22" t="str">
            <v>KI ANGELIM</v>
          </cell>
          <cell r="B22" t="str">
            <v>08/2025</v>
          </cell>
          <cell r="H22" t="str">
            <v>ATIVO OU DESPESA OPERACIONAL</v>
          </cell>
          <cell r="K22">
            <v>17.91</v>
          </cell>
          <cell r="L22">
            <v>0</v>
          </cell>
        </row>
        <row r="23">
          <cell r="A23" t="str">
            <v>KI ANGELIM</v>
          </cell>
          <cell r="B23" t="str">
            <v>07/2025</v>
          </cell>
          <cell r="H23" t="str">
            <v>ATIVO OU DESPESA OPERACIONAL</v>
          </cell>
          <cell r="K23">
            <v>17.91</v>
          </cell>
          <cell r="L23">
            <v>0</v>
          </cell>
        </row>
        <row r="24">
          <cell r="A24" t="str">
            <v>KI ANGELIM</v>
          </cell>
          <cell r="B24" t="str">
            <v>06/2025</v>
          </cell>
          <cell r="H24" t="str">
            <v>ATIVO OU DESPESA OPERACIONAL</v>
          </cell>
          <cell r="K24">
            <v>17.91</v>
          </cell>
          <cell r="L24">
            <v>0</v>
          </cell>
        </row>
        <row r="25">
          <cell r="A25" t="str">
            <v>KI ANGELIM</v>
          </cell>
          <cell r="B25" t="str">
            <v>05/2025</v>
          </cell>
          <cell r="H25" t="str">
            <v>ATIVO OU DESPESA OPERACIONAL</v>
          </cell>
          <cell r="K25">
            <v>17.91</v>
          </cell>
          <cell r="L25">
            <v>0</v>
          </cell>
        </row>
        <row r="26">
          <cell r="A26" t="str">
            <v>KI ANGELIM</v>
          </cell>
          <cell r="B26" t="str">
            <v>04/2025</v>
          </cell>
          <cell r="H26" t="str">
            <v>ATIVO OU DESPESA OPERACIONAL</v>
          </cell>
          <cell r="K26">
            <v>17.91</v>
          </cell>
          <cell r="L26">
            <v>0</v>
          </cell>
        </row>
        <row r="27">
          <cell r="A27" t="str">
            <v>KI ANGELIM</v>
          </cell>
          <cell r="B27" t="str">
            <v>04/2025</v>
          </cell>
          <cell r="H27" t="str">
            <v>ATIVO OU DESPESA OPERACIONAL</v>
          </cell>
          <cell r="K27">
            <v>17.91</v>
          </cell>
          <cell r="L27">
            <v>0</v>
          </cell>
        </row>
        <row r="28">
          <cell r="A28" t="str">
            <v>KI ANGELIM</v>
          </cell>
          <cell r="B28" t="str">
            <v>09/2025</v>
          </cell>
          <cell r="H28" t="str">
            <v>ATIVO OU DESPESA OPERACIONAL</v>
          </cell>
          <cell r="K28">
            <v>17.91</v>
          </cell>
          <cell r="L28">
            <v>0</v>
          </cell>
        </row>
        <row r="29">
          <cell r="A29" t="str">
            <v>KI ANGELIM</v>
          </cell>
          <cell r="B29" t="str">
            <v>08/2025</v>
          </cell>
          <cell r="H29" t="str">
            <v>ATIVO OU DESPESA OPERACIONAL</v>
          </cell>
          <cell r="K29">
            <v>17.91</v>
          </cell>
          <cell r="L29">
            <v>0</v>
          </cell>
        </row>
        <row r="30">
          <cell r="A30" t="str">
            <v>KI ANGELIM</v>
          </cell>
          <cell r="B30" t="str">
            <v>07/2025</v>
          </cell>
          <cell r="H30" t="str">
            <v>ATIVO OU DESPESA OPERACIONAL</v>
          </cell>
          <cell r="K30">
            <v>17.91</v>
          </cell>
          <cell r="L30">
            <v>0</v>
          </cell>
        </row>
        <row r="31">
          <cell r="A31" t="str">
            <v>KI ANGELIM</v>
          </cell>
          <cell r="B31" t="str">
            <v>06/2025</v>
          </cell>
          <cell r="H31" t="str">
            <v>ATIVO OU DESPESA OPERACIONAL</v>
          </cell>
          <cell r="K31">
            <v>17.91</v>
          </cell>
          <cell r="L31">
            <v>0</v>
          </cell>
        </row>
        <row r="32">
          <cell r="A32" t="str">
            <v>KI ANGELIM</v>
          </cell>
          <cell r="B32" t="str">
            <v>05/2025</v>
          </cell>
          <cell r="H32" t="str">
            <v>ATIVO OU DESPESA OPERACIONAL</v>
          </cell>
          <cell r="K32">
            <v>17.91</v>
          </cell>
          <cell r="L32">
            <v>0</v>
          </cell>
        </row>
        <row r="33">
          <cell r="A33" t="str">
            <v>KI ANGELIM</v>
          </cell>
          <cell r="B33" t="str">
            <v>04/2025</v>
          </cell>
          <cell r="H33" t="str">
            <v>ATIVO OU DESPESA OPERACIONAL</v>
          </cell>
          <cell r="K33">
            <v>17.91</v>
          </cell>
          <cell r="L33">
            <v>0</v>
          </cell>
        </row>
        <row r="34">
          <cell r="A34" t="str">
            <v>KI ANGELIM</v>
          </cell>
          <cell r="B34" t="str">
            <v>04/2025</v>
          </cell>
          <cell r="H34" t="str">
            <v>ATIVO OU DESPESA OPERACIONAL</v>
          </cell>
          <cell r="K34">
            <v>17.91</v>
          </cell>
          <cell r="L34">
            <v>0</v>
          </cell>
        </row>
        <row r="35">
          <cell r="A35" t="str">
            <v>KI ANGELIM</v>
          </cell>
          <cell r="B35" t="str">
            <v>05/2025</v>
          </cell>
          <cell r="H35" t="str">
            <v>ATIVO OU DESPESA OPERACIONAL</v>
          </cell>
          <cell r="K35">
            <v>17.600000000000001</v>
          </cell>
          <cell r="L35">
            <v>0</v>
          </cell>
        </row>
        <row r="36">
          <cell r="A36" t="str">
            <v>KI ANGELIM</v>
          </cell>
          <cell r="B36" t="str">
            <v>09/2025</v>
          </cell>
          <cell r="H36" t="str">
            <v>ATIVO OU DESPESA OPERACIONAL</v>
          </cell>
          <cell r="K36">
            <v>8</v>
          </cell>
          <cell r="L36">
            <v>0</v>
          </cell>
        </row>
        <row r="37">
          <cell r="A37" t="str">
            <v>KI ANGELIM</v>
          </cell>
          <cell r="B37" t="str">
            <v>09/2025</v>
          </cell>
          <cell r="H37" t="str">
            <v>ATIVO OU DESPESA OPERACIONAL</v>
          </cell>
          <cell r="K37">
            <v>8</v>
          </cell>
          <cell r="L37">
            <v>0</v>
          </cell>
        </row>
        <row r="38">
          <cell r="A38" t="str">
            <v>KI ANGELIM</v>
          </cell>
          <cell r="B38" t="str">
            <v>09/2025</v>
          </cell>
          <cell r="H38" t="str">
            <v>ATIVO OU DESPESA OPERACIONAL</v>
          </cell>
          <cell r="K38">
            <v>8</v>
          </cell>
          <cell r="L38">
            <v>0</v>
          </cell>
        </row>
        <row r="39">
          <cell r="A39" t="str">
            <v>KI ANGELIM</v>
          </cell>
          <cell r="B39" t="str">
            <v>09/2025</v>
          </cell>
          <cell r="H39" t="str">
            <v>ATIVO OU DESPESA OPERACIONAL</v>
          </cell>
          <cell r="K39">
            <v>8</v>
          </cell>
          <cell r="L39">
            <v>0</v>
          </cell>
        </row>
        <row r="40">
          <cell r="A40" t="str">
            <v>KI ANGELIM</v>
          </cell>
          <cell r="B40" t="str">
            <v>09/2025</v>
          </cell>
          <cell r="H40" t="str">
            <v>ATIVO OU DESPESA OPERACIONAL</v>
          </cell>
          <cell r="K40">
            <v>5.31</v>
          </cell>
          <cell r="L40">
            <v>0</v>
          </cell>
        </row>
        <row r="41">
          <cell r="A41" t="str">
            <v>KI ANGELIM</v>
          </cell>
          <cell r="B41" t="str">
            <v>08/2025</v>
          </cell>
          <cell r="H41" t="str">
            <v>ATIVO OU DESPESA OPERACIONAL</v>
          </cell>
          <cell r="K41">
            <v>5.31</v>
          </cell>
          <cell r="L41">
            <v>0</v>
          </cell>
        </row>
        <row r="42">
          <cell r="A42" t="str">
            <v>KI ANGELIM</v>
          </cell>
          <cell r="B42" t="str">
            <v>07/2025</v>
          </cell>
          <cell r="H42" t="str">
            <v>ATIVO OU DESPESA OPERACIONAL</v>
          </cell>
          <cell r="K42">
            <v>5.31</v>
          </cell>
          <cell r="L42">
            <v>0</v>
          </cell>
        </row>
        <row r="43">
          <cell r="A43" t="str">
            <v>KI ANGELIM</v>
          </cell>
          <cell r="B43" t="str">
            <v>06/2025</v>
          </cell>
          <cell r="H43" t="str">
            <v>ATIVO OU DESPESA OPERACIONAL</v>
          </cell>
          <cell r="K43">
            <v>5.31</v>
          </cell>
          <cell r="L43">
            <v>0</v>
          </cell>
        </row>
        <row r="44">
          <cell r="A44" t="str">
            <v>KI ANGELIM</v>
          </cell>
          <cell r="B44" t="str">
            <v>05/2025</v>
          </cell>
          <cell r="H44" t="str">
            <v>ATIVO OU DESPESA OPERACIONAL</v>
          </cell>
          <cell r="K44">
            <v>5.31</v>
          </cell>
          <cell r="L44">
            <v>0</v>
          </cell>
        </row>
        <row r="45">
          <cell r="A45" t="str">
            <v>KI ANGELIM</v>
          </cell>
          <cell r="B45" t="str">
            <v>09/2025</v>
          </cell>
          <cell r="H45" t="str">
            <v>MADEIRA FUTURA FILIAL</v>
          </cell>
          <cell r="K45">
            <v>51714.8</v>
          </cell>
          <cell r="L45">
            <v>0</v>
          </cell>
        </row>
        <row r="46">
          <cell r="A46" t="str">
            <v>KI ANGELIM</v>
          </cell>
          <cell r="B46" t="str">
            <v>08/2025</v>
          </cell>
          <cell r="H46" t="str">
            <v>MADEIRA FUTURA FILIAL</v>
          </cell>
          <cell r="K46">
            <v>44988.58</v>
          </cell>
          <cell r="L46">
            <v>0</v>
          </cell>
        </row>
        <row r="47">
          <cell r="A47" t="str">
            <v>KI ANGELIM</v>
          </cell>
          <cell r="B47" t="str">
            <v>04/2025</v>
          </cell>
          <cell r="H47" t="str">
            <v>MADEIRA FUTURA FILIAL</v>
          </cell>
          <cell r="K47">
            <v>42026.400000000001</v>
          </cell>
          <cell r="L47">
            <v>5043.17</v>
          </cell>
        </row>
        <row r="48">
          <cell r="A48" t="str">
            <v>KI ANGELIM</v>
          </cell>
          <cell r="B48" t="str">
            <v>09/2025</v>
          </cell>
          <cell r="H48" t="str">
            <v>MADEIRA FUTURA FILIAL</v>
          </cell>
          <cell r="K48">
            <v>38850.07</v>
          </cell>
          <cell r="L48">
            <v>0</v>
          </cell>
        </row>
        <row r="49">
          <cell r="A49" t="str">
            <v>KI ANGELIM</v>
          </cell>
          <cell r="B49" t="str">
            <v>08/2025</v>
          </cell>
          <cell r="H49" t="str">
            <v>MADEIRA FUTURA FILIAL</v>
          </cell>
          <cell r="K49">
            <v>34870.97</v>
          </cell>
          <cell r="L49">
            <v>4184.5200000000004</v>
          </cell>
        </row>
        <row r="50">
          <cell r="A50" t="str">
            <v>KI ANGELIM</v>
          </cell>
          <cell r="B50" t="str">
            <v>09/2025</v>
          </cell>
          <cell r="H50" t="str">
            <v>MADEIRA FUTURA FILIAL</v>
          </cell>
          <cell r="K50">
            <v>27753.599999999999</v>
          </cell>
          <cell r="L50">
            <v>3330.43</v>
          </cell>
        </row>
        <row r="51">
          <cell r="A51" t="str">
            <v>KI ANGELIM</v>
          </cell>
          <cell r="B51" t="str">
            <v>06/2025</v>
          </cell>
          <cell r="H51" t="str">
            <v>MADEIRA FUTURA FILIAL</v>
          </cell>
          <cell r="K51">
            <v>21690.39</v>
          </cell>
          <cell r="L51">
            <v>2602.85</v>
          </cell>
        </row>
        <row r="52">
          <cell r="A52" t="str">
            <v>KI ANGELIM</v>
          </cell>
          <cell r="B52" t="str">
            <v>05/2025</v>
          </cell>
          <cell r="H52" t="str">
            <v>MADEIRA FUTURA FILIAL</v>
          </cell>
          <cell r="K52">
            <v>20940.71</v>
          </cell>
          <cell r="L52">
            <v>2512.89</v>
          </cell>
        </row>
        <row r="53">
          <cell r="A53" t="str">
            <v>KI ANGELIM</v>
          </cell>
          <cell r="B53" t="str">
            <v>04/2025</v>
          </cell>
          <cell r="H53" t="str">
            <v>MADEIRA FUTURA FILIAL</v>
          </cell>
          <cell r="K53">
            <v>20522.89</v>
          </cell>
          <cell r="L53">
            <v>2462.75</v>
          </cell>
        </row>
        <row r="54">
          <cell r="A54" t="str">
            <v>KI ANGELIM</v>
          </cell>
          <cell r="B54" t="str">
            <v>08/2025</v>
          </cell>
          <cell r="H54" t="str">
            <v>MADEIRA FUTURA FILIAL</v>
          </cell>
          <cell r="K54">
            <v>19833.169999999998</v>
          </cell>
          <cell r="L54">
            <v>2379.98</v>
          </cell>
        </row>
        <row r="55">
          <cell r="A55" t="str">
            <v>KI ANGELIM</v>
          </cell>
          <cell r="B55" t="str">
            <v>08/2025</v>
          </cell>
          <cell r="H55" t="str">
            <v>MADEIRA FUTURA FILIAL</v>
          </cell>
          <cell r="K55">
            <v>19210.900000000001</v>
          </cell>
          <cell r="L55">
            <v>2305.31</v>
          </cell>
        </row>
        <row r="56">
          <cell r="A56" t="str">
            <v>KI ANGELIM</v>
          </cell>
          <cell r="B56" t="str">
            <v>09/2025</v>
          </cell>
          <cell r="H56" t="str">
            <v>MADEIRA FUTURA FILIAL</v>
          </cell>
          <cell r="K56">
            <v>17368.86</v>
          </cell>
          <cell r="L56">
            <v>2084.2600000000002</v>
          </cell>
        </row>
        <row r="57">
          <cell r="A57" t="str">
            <v>KI ANGELIM</v>
          </cell>
          <cell r="B57" t="str">
            <v>05/2025</v>
          </cell>
          <cell r="H57" t="str">
            <v>MADEIRA FUTURA FILIAL</v>
          </cell>
          <cell r="K57">
            <v>15374.5</v>
          </cell>
          <cell r="L57">
            <v>0</v>
          </cell>
        </row>
        <row r="58">
          <cell r="A58" t="str">
            <v>KI ANGELIM</v>
          </cell>
          <cell r="B58" t="str">
            <v>09/2025</v>
          </cell>
          <cell r="H58" t="str">
            <v>MADEIRA FUTURA FILIAL</v>
          </cell>
          <cell r="K58">
            <v>12791.52</v>
          </cell>
          <cell r="L58">
            <v>1534.98</v>
          </cell>
        </row>
        <row r="59">
          <cell r="A59" t="str">
            <v>KI ANGELIM</v>
          </cell>
          <cell r="B59" t="str">
            <v>04/2025</v>
          </cell>
          <cell r="H59" t="str">
            <v>MADEIRA FUTURA FILIAL</v>
          </cell>
          <cell r="K59">
            <v>11866.14</v>
          </cell>
          <cell r="L59">
            <v>0</v>
          </cell>
        </row>
        <row r="60">
          <cell r="A60" t="str">
            <v>KI ANGELIM</v>
          </cell>
          <cell r="B60" t="str">
            <v>09/2025</v>
          </cell>
          <cell r="H60" t="str">
            <v>MADEIRA FUTURA FILIAL</v>
          </cell>
          <cell r="K60">
            <v>11568.84</v>
          </cell>
          <cell r="L60">
            <v>1966.7</v>
          </cell>
        </row>
        <row r="61">
          <cell r="A61" t="str">
            <v>KI ANGELIM</v>
          </cell>
          <cell r="B61" t="str">
            <v>08/2025</v>
          </cell>
          <cell r="H61" t="str">
            <v>MADEIRA FUTURA FILIAL</v>
          </cell>
          <cell r="K61">
            <v>11527.15</v>
          </cell>
          <cell r="L61">
            <v>0</v>
          </cell>
        </row>
        <row r="62">
          <cell r="A62" t="str">
            <v>KI ANGELIM</v>
          </cell>
          <cell r="B62" t="str">
            <v>08/2025</v>
          </cell>
          <cell r="H62" t="str">
            <v>MADEIRA FUTURA FILIAL</v>
          </cell>
          <cell r="K62">
            <v>11527.15</v>
          </cell>
          <cell r="L62">
            <v>0</v>
          </cell>
        </row>
        <row r="63">
          <cell r="A63" t="str">
            <v>KI ANGELIM</v>
          </cell>
          <cell r="B63" t="str">
            <v>09/2025</v>
          </cell>
          <cell r="H63" t="str">
            <v>MADEIRA FUTURA FILIAL</v>
          </cell>
          <cell r="K63">
            <v>11522.5</v>
          </cell>
          <cell r="L63">
            <v>1382.7</v>
          </cell>
        </row>
        <row r="64">
          <cell r="A64" t="str">
            <v>KI ANGELIM</v>
          </cell>
          <cell r="B64" t="str">
            <v>08/2025</v>
          </cell>
          <cell r="H64" t="str">
            <v>MADEIRA FUTURA FILIAL</v>
          </cell>
          <cell r="K64">
            <v>10707.16</v>
          </cell>
          <cell r="L64">
            <v>1284.8599999999999</v>
          </cell>
        </row>
        <row r="65">
          <cell r="A65" t="str">
            <v>KI ANGELIM</v>
          </cell>
          <cell r="B65" t="str">
            <v>08/2025</v>
          </cell>
          <cell r="H65" t="str">
            <v>MADEIRA FUTURA FILIAL</v>
          </cell>
          <cell r="K65">
            <v>10230</v>
          </cell>
          <cell r="L65">
            <v>0</v>
          </cell>
        </row>
        <row r="66">
          <cell r="A66" t="str">
            <v>KI ANGELIM</v>
          </cell>
          <cell r="B66" t="str">
            <v>04/2025</v>
          </cell>
          <cell r="H66" t="str">
            <v>MADEIRA FUTURA FILIAL</v>
          </cell>
          <cell r="K66">
            <v>9731.35</v>
          </cell>
          <cell r="L66">
            <v>1167.76</v>
          </cell>
        </row>
        <row r="67">
          <cell r="A67" t="str">
            <v>KI ANGELIM</v>
          </cell>
          <cell r="B67" t="str">
            <v>04/2025</v>
          </cell>
          <cell r="H67" t="str">
            <v>MADEIRA FUTURA FILIAL</v>
          </cell>
          <cell r="K67">
            <v>9190.7999999999993</v>
          </cell>
          <cell r="L67">
            <v>1102.9000000000001</v>
          </cell>
        </row>
        <row r="68">
          <cell r="A68" t="str">
            <v>KI ANGELIM</v>
          </cell>
          <cell r="B68" t="str">
            <v>06/2025</v>
          </cell>
          <cell r="H68" t="str">
            <v>MADEIRA FUTURA FILIAL</v>
          </cell>
          <cell r="K68">
            <v>8981.2800000000007</v>
          </cell>
          <cell r="L68">
            <v>1077.75</v>
          </cell>
        </row>
        <row r="69">
          <cell r="A69" t="str">
            <v>KI ANGELIM</v>
          </cell>
          <cell r="B69" t="str">
            <v>05/2025</v>
          </cell>
          <cell r="H69" t="str">
            <v>MADEIRA FUTURA FILIAL</v>
          </cell>
          <cell r="K69">
            <v>8975.01</v>
          </cell>
          <cell r="L69">
            <v>1077</v>
          </cell>
        </row>
        <row r="70">
          <cell r="A70" t="str">
            <v>KI ANGELIM</v>
          </cell>
          <cell r="B70" t="str">
            <v>05/2025</v>
          </cell>
          <cell r="H70" t="str">
            <v>MADEIRA FUTURA FILIAL</v>
          </cell>
          <cell r="K70">
            <v>8975.01</v>
          </cell>
          <cell r="L70">
            <v>1077</v>
          </cell>
        </row>
        <row r="71">
          <cell r="A71" t="str">
            <v>KI ANGELIM</v>
          </cell>
          <cell r="B71" t="str">
            <v>08/2025</v>
          </cell>
          <cell r="H71" t="str">
            <v>MADEIRA FUTURA FILIAL</v>
          </cell>
          <cell r="K71">
            <v>8833.5400000000009</v>
          </cell>
          <cell r="L71">
            <v>1060.02</v>
          </cell>
        </row>
        <row r="72">
          <cell r="A72" t="str">
            <v>KI ANGELIM</v>
          </cell>
          <cell r="B72" t="str">
            <v>06/2025</v>
          </cell>
          <cell r="H72" t="str">
            <v>MADEIRA FUTURA FILIAL</v>
          </cell>
          <cell r="K72">
            <v>8799.43</v>
          </cell>
          <cell r="L72">
            <v>1055.93</v>
          </cell>
        </row>
        <row r="73">
          <cell r="A73" t="str">
            <v>KI ANGELIM</v>
          </cell>
          <cell r="B73" t="str">
            <v>05/2025</v>
          </cell>
          <cell r="H73" t="str">
            <v>MADEIRA FUTURA FILIAL</v>
          </cell>
          <cell r="K73">
            <v>8663.0400000000009</v>
          </cell>
          <cell r="L73">
            <v>1039.56</v>
          </cell>
        </row>
        <row r="74">
          <cell r="A74" t="str">
            <v>KI ANGELIM</v>
          </cell>
          <cell r="B74" t="str">
            <v>09/2025</v>
          </cell>
          <cell r="H74" t="str">
            <v>MADEIRA FUTURA FILIAL</v>
          </cell>
          <cell r="K74">
            <v>8342.98</v>
          </cell>
          <cell r="L74">
            <v>1001.16</v>
          </cell>
        </row>
        <row r="75">
          <cell r="A75" t="str">
            <v>KI ANGELIM</v>
          </cell>
          <cell r="B75" t="str">
            <v>09/2025</v>
          </cell>
          <cell r="H75" t="str">
            <v>MADEIRA FUTURA FILIAL</v>
          </cell>
          <cell r="K75">
            <v>8342.98</v>
          </cell>
          <cell r="L75">
            <v>1001.16</v>
          </cell>
        </row>
        <row r="76">
          <cell r="A76" t="str">
            <v>KI ANGELIM</v>
          </cell>
          <cell r="B76" t="str">
            <v>05/2025</v>
          </cell>
          <cell r="H76" t="str">
            <v>MADEIRA FUTURA FILIAL</v>
          </cell>
          <cell r="K76">
            <v>7809.46</v>
          </cell>
          <cell r="L76">
            <v>0</v>
          </cell>
        </row>
        <row r="77">
          <cell r="A77" t="str">
            <v>KI ANGELIM</v>
          </cell>
          <cell r="B77" t="str">
            <v>09/2025</v>
          </cell>
          <cell r="H77" t="str">
            <v>MADEIRA FUTURA FILIAL</v>
          </cell>
          <cell r="K77">
            <v>7542</v>
          </cell>
          <cell r="L77">
            <v>1282.1400000000001</v>
          </cell>
        </row>
        <row r="78">
          <cell r="A78" t="str">
            <v>KI ANGELIM</v>
          </cell>
          <cell r="B78" t="str">
            <v>04/2025</v>
          </cell>
          <cell r="H78" t="str">
            <v>MADEIRA FUTURA FILIAL</v>
          </cell>
          <cell r="K78">
            <v>7494.72</v>
          </cell>
          <cell r="L78">
            <v>899.37</v>
          </cell>
        </row>
        <row r="79">
          <cell r="A79" t="str">
            <v>KI ANGELIM</v>
          </cell>
          <cell r="B79" t="str">
            <v>08/2025</v>
          </cell>
          <cell r="H79" t="str">
            <v>MADEIRA FUTURA FILIAL</v>
          </cell>
          <cell r="K79">
            <v>6720.17</v>
          </cell>
          <cell r="L79">
            <v>0</v>
          </cell>
        </row>
        <row r="80">
          <cell r="A80" t="str">
            <v>KI ANGELIM</v>
          </cell>
          <cell r="B80" t="str">
            <v>08/2025</v>
          </cell>
          <cell r="H80" t="str">
            <v>MADEIRA FUTURA FILIAL</v>
          </cell>
          <cell r="K80">
            <v>6720.17</v>
          </cell>
          <cell r="L80">
            <v>0</v>
          </cell>
        </row>
        <row r="81">
          <cell r="A81" t="str">
            <v>KI ANGELIM</v>
          </cell>
          <cell r="B81" t="str">
            <v>05/2025</v>
          </cell>
          <cell r="H81" t="str">
            <v>MADEIRA FUTURA FILIAL</v>
          </cell>
          <cell r="K81">
            <v>6393.22</v>
          </cell>
          <cell r="L81">
            <v>767.19</v>
          </cell>
        </row>
        <row r="82">
          <cell r="A82" t="str">
            <v>KI ANGELIM</v>
          </cell>
          <cell r="B82" t="str">
            <v>09/2025</v>
          </cell>
          <cell r="H82" t="str">
            <v>MADEIRA FUTURA FILIAL</v>
          </cell>
          <cell r="K82">
            <v>6187.71</v>
          </cell>
          <cell r="L82">
            <v>742.53</v>
          </cell>
        </row>
        <row r="83">
          <cell r="A83" t="str">
            <v>KI ANGELIM</v>
          </cell>
          <cell r="B83" t="str">
            <v>08/2025</v>
          </cell>
          <cell r="H83" t="str">
            <v>MADEIRA FUTURA FILIAL</v>
          </cell>
          <cell r="K83">
            <v>6154.65</v>
          </cell>
          <cell r="L83">
            <v>0</v>
          </cell>
        </row>
        <row r="84">
          <cell r="A84" t="str">
            <v>KI ANGELIM</v>
          </cell>
          <cell r="B84" t="str">
            <v>08/2025</v>
          </cell>
          <cell r="H84" t="str">
            <v>MADEIRA FUTURA FILIAL</v>
          </cell>
          <cell r="K84">
            <v>6154.65</v>
          </cell>
          <cell r="L84">
            <v>0</v>
          </cell>
        </row>
        <row r="85">
          <cell r="A85" t="str">
            <v>KI ANGELIM</v>
          </cell>
          <cell r="B85" t="str">
            <v>09/2025</v>
          </cell>
          <cell r="H85" t="str">
            <v>MADEIRA FUTURA FILIAL</v>
          </cell>
          <cell r="K85">
            <v>5931.14</v>
          </cell>
          <cell r="L85">
            <v>711.74</v>
          </cell>
        </row>
        <row r="86">
          <cell r="A86" t="str">
            <v>KI ANGELIM</v>
          </cell>
          <cell r="B86" t="str">
            <v>09/2025</v>
          </cell>
          <cell r="H86" t="str">
            <v>MADEIRA FUTURA FILIAL</v>
          </cell>
          <cell r="K86">
            <v>5931.14</v>
          </cell>
          <cell r="L86">
            <v>711.74</v>
          </cell>
        </row>
        <row r="87">
          <cell r="A87" t="str">
            <v>KI ANGELIM</v>
          </cell>
          <cell r="B87" t="str">
            <v>05/2025</v>
          </cell>
          <cell r="H87" t="str">
            <v>MADEIRA FUTURA FILIAL</v>
          </cell>
          <cell r="K87">
            <v>5500</v>
          </cell>
          <cell r="L87">
            <v>0</v>
          </cell>
        </row>
        <row r="88">
          <cell r="A88" t="str">
            <v>KI ANGELIM</v>
          </cell>
          <cell r="B88" t="str">
            <v>08/2025</v>
          </cell>
          <cell r="H88" t="str">
            <v>MADEIRA FUTURA FILIAL</v>
          </cell>
          <cell r="K88">
            <v>5497.63</v>
          </cell>
          <cell r="L88">
            <v>659.72</v>
          </cell>
        </row>
        <row r="89">
          <cell r="A89" t="str">
            <v>KI ANGELIM</v>
          </cell>
          <cell r="B89" t="str">
            <v>04/2025</v>
          </cell>
          <cell r="H89" t="str">
            <v>MADEIRA FUTURA FILIAL</v>
          </cell>
          <cell r="K89">
            <v>5325.66</v>
          </cell>
          <cell r="L89">
            <v>0</v>
          </cell>
        </row>
        <row r="90">
          <cell r="A90" t="str">
            <v>KI ANGELIM</v>
          </cell>
          <cell r="B90" t="str">
            <v>08/2025</v>
          </cell>
          <cell r="H90" t="str">
            <v>MADEIRA FUTURA FILIAL</v>
          </cell>
          <cell r="K90">
            <v>5188.74</v>
          </cell>
          <cell r="L90">
            <v>622.65</v>
          </cell>
        </row>
        <row r="91">
          <cell r="A91" t="str">
            <v>KI ANGELIM</v>
          </cell>
          <cell r="B91" t="str">
            <v>05/2025</v>
          </cell>
          <cell r="H91" t="str">
            <v>MADEIRA FUTURA FILIAL</v>
          </cell>
          <cell r="K91">
            <v>4740</v>
          </cell>
          <cell r="L91">
            <v>0</v>
          </cell>
        </row>
        <row r="92">
          <cell r="A92" t="str">
            <v>KI ANGELIM</v>
          </cell>
          <cell r="B92" t="str">
            <v>08/2025</v>
          </cell>
          <cell r="H92" t="str">
            <v>MADEIRA FUTURA FILIAL</v>
          </cell>
          <cell r="K92">
            <v>4685.26</v>
          </cell>
          <cell r="L92">
            <v>562.23</v>
          </cell>
        </row>
        <row r="93">
          <cell r="A93" t="str">
            <v>KI ANGELIM</v>
          </cell>
          <cell r="B93" t="str">
            <v>06/2025</v>
          </cell>
          <cell r="H93" t="str">
            <v>MADEIRA FUTURA FILIAL</v>
          </cell>
          <cell r="K93">
            <v>4596.4799999999996</v>
          </cell>
          <cell r="L93">
            <v>551.58000000000004</v>
          </cell>
        </row>
        <row r="94">
          <cell r="A94" t="str">
            <v>KI ANGELIM</v>
          </cell>
          <cell r="B94" t="str">
            <v>04/2025</v>
          </cell>
          <cell r="H94" t="str">
            <v>MADEIRA FUTURA FILIAL</v>
          </cell>
          <cell r="K94">
            <v>4563.43</v>
          </cell>
          <cell r="L94">
            <v>0</v>
          </cell>
        </row>
        <row r="95">
          <cell r="A95" t="str">
            <v>KI ANGELIM</v>
          </cell>
          <cell r="B95" t="str">
            <v>06/2025</v>
          </cell>
          <cell r="H95" t="str">
            <v>MADEIRA FUTURA FILIAL</v>
          </cell>
          <cell r="K95">
            <v>4450</v>
          </cell>
          <cell r="L95">
            <v>0</v>
          </cell>
        </row>
        <row r="96">
          <cell r="A96" t="str">
            <v>KI ANGELIM</v>
          </cell>
          <cell r="B96" t="str">
            <v>09/2025</v>
          </cell>
          <cell r="H96" t="str">
            <v>MADEIRA FUTURA FILIAL</v>
          </cell>
          <cell r="K96">
            <v>4380.57</v>
          </cell>
          <cell r="L96">
            <v>525.66999999999996</v>
          </cell>
        </row>
        <row r="97">
          <cell r="A97" t="str">
            <v>KI ANGELIM</v>
          </cell>
          <cell r="B97" t="str">
            <v>06/2025</v>
          </cell>
          <cell r="H97" t="str">
            <v>MADEIRA FUTURA FILIAL</v>
          </cell>
          <cell r="K97">
            <v>4321.7299999999996</v>
          </cell>
          <cell r="L97">
            <v>518.61</v>
          </cell>
        </row>
        <row r="98">
          <cell r="A98" t="str">
            <v>KI ANGELIM</v>
          </cell>
          <cell r="B98" t="str">
            <v>04/2025</v>
          </cell>
          <cell r="H98" t="str">
            <v>MADEIRA FUTURA FILIAL</v>
          </cell>
          <cell r="K98">
            <v>4250</v>
          </cell>
          <cell r="L98">
            <v>0</v>
          </cell>
        </row>
        <row r="99">
          <cell r="A99" t="str">
            <v>KI ANGELIM</v>
          </cell>
          <cell r="B99" t="str">
            <v>04/2025</v>
          </cell>
          <cell r="H99" t="str">
            <v>MADEIRA FUTURA FILIAL</v>
          </cell>
          <cell r="K99">
            <v>4250</v>
          </cell>
          <cell r="L99">
            <v>0</v>
          </cell>
        </row>
        <row r="100">
          <cell r="A100" t="str">
            <v>KI ANGELIM</v>
          </cell>
          <cell r="B100" t="str">
            <v>07/2025</v>
          </cell>
          <cell r="H100" t="str">
            <v>MADEIRA FUTURA FILIAL</v>
          </cell>
          <cell r="K100">
            <v>3950</v>
          </cell>
          <cell r="L100">
            <v>0</v>
          </cell>
        </row>
        <row r="101">
          <cell r="A101" t="str">
            <v>KI ANGELIM</v>
          </cell>
          <cell r="B101" t="str">
            <v>07/2025</v>
          </cell>
          <cell r="H101" t="str">
            <v>MADEIRA FUTURA FILIAL</v>
          </cell>
          <cell r="K101">
            <v>3950</v>
          </cell>
          <cell r="L101">
            <v>0</v>
          </cell>
        </row>
        <row r="102">
          <cell r="A102" t="str">
            <v>KI ANGELIM</v>
          </cell>
          <cell r="B102" t="str">
            <v>07/2025</v>
          </cell>
          <cell r="H102" t="str">
            <v>MADEIRA FUTURA FILIAL</v>
          </cell>
          <cell r="K102">
            <v>3950</v>
          </cell>
          <cell r="L102">
            <v>0</v>
          </cell>
        </row>
        <row r="103">
          <cell r="A103" t="str">
            <v>KI ANGELIM</v>
          </cell>
          <cell r="B103" t="str">
            <v>07/2025</v>
          </cell>
          <cell r="H103" t="str">
            <v>MADEIRA FUTURA FILIAL</v>
          </cell>
          <cell r="K103">
            <v>3950</v>
          </cell>
          <cell r="L103">
            <v>0</v>
          </cell>
        </row>
        <row r="104">
          <cell r="A104" t="str">
            <v>KI ANGELIM</v>
          </cell>
          <cell r="B104" t="str">
            <v>09/2025</v>
          </cell>
          <cell r="H104" t="str">
            <v>MADEIRA FUTURA FILIAL</v>
          </cell>
          <cell r="K104">
            <v>3939.95</v>
          </cell>
          <cell r="L104">
            <v>472.79</v>
          </cell>
        </row>
        <row r="105">
          <cell r="A105" t="str">
            <v>KI ANGELIM</v>
          </cell>
          <cell r="B105" t="str">
            <v>09/2025</v>
          </cell>
          <cell r="H105" t="str">
            <v>MADEIRA FUTURA FILIAL</v>
          </cell>
          <cell r="K105">
            <v>3939.95</v>
          </cell>
          <cell r="L105">
            <v>472.79</v>
          </cell>
        </row>
        <row r="106">
          <cell r="A106" t="str">
            <v>KI ANGELIM</v>
          </cell>
          <cell r="B106" t="str">
            <v>04/2025</v>
          </cell>
          <cell r="H106" t="str">
            <v>MADEIRA FUTURA FILIAL</v>
          </cell>
          <cell r="K106">
            <v>3829.5</v>
          </cell>
          <cell r="L106">
            <v>459.54</v>
          </cell>
        </row>
        <row r="107">
          <cell r="A107" t="str">
            <v>KI ANGELIM</v>
          </cell>
          <cell r="B107" t="str">
            <v>05/2025</v>
          </cell>
          <cell r="H107" t="str">
            <v>MADEIRA FUTURA FILIAL</v>
          </cell>
          <cell r="K107">
            <v>3772.03</v>
          </cell>
          <cell r="L107">
            <v>0</v>
          </cell>
        </row>
        <row r="108">
          <cell r="A108" t="str">
            <v>KI ANGELIM</v>
          </cell>
          <cell r="B108" t="str">
            <v>04/2025</v>
          </cell>
          <cell r="H108" t="str">
            <v>MADEIRA FUTURA FILIAL</v>
          </cell>
          <cell r="K108">
            <v>3752.5</v>
          </cell>
          <cell r="L108">
            <v>0</v>
          </cell>
        </row>
        <row r="109">
          <cell r="A109" t="str">
            <v>KI ANGELIM</v>
          </cell>
          <cell r="B109" t="str">
            <v>04/2025</v>
          </cell>
          <cell r="H109" t="str">
            <v>MADEIRA FUTURA FILIAL</v>
          </cell>
          <cell r="K109">
            <v>3752.5</v>
          </cell>
          <cell r="L109">
            <v>0</v>
          </cell>
        </row>
        <row r="110">
          <cell r="A110" t="str">
            <v>KI ANGELIM</v>
          </cell>
          <cell r="B110" t="str">
            <v>08/2025</v>
          </cell>
          <cell r="H110" t="str">
            <v>MADEIRA FUTURA FILIAL</v>
          </cell>
          <cell r="K110">
            <v>3718.46</v>
          </cell>
          <cell r="L110">
            <v>0</v>
          </cell>
        </row>
        <row r="111">
          <cell r="A111" t="str">
            <v>KI ANGELIM</v>
          </cell>
          <cell r="B111" t="str">
            <v>08/2025</v>
          </cell>
          <cell r="H111" t="str">
            <v>MADEIRA FUTURA FILIAL</v>
          </cell>
          <cell r="K111">
            <v>3718.46</v>
          </cell>
          <cell r="L111">
            <v>0</v>
          </cell>
        </row>
        <row r="112">
          <cell r="A112" t="str">
            <v>KI ANGELIM</v>
          </cell>
          <cell r="B112" t="str">
            <v>04/2025</v>
          </cell>
          <cell r="H112" t="str">
            <v>MADEIRA FUTURA FILIAL</v>
          </cell>
          <cell r="K112">
            <v>3679.92</v>
          </cell>
          <cell r="L112">
            <v>441.59</v>
          </cell>
        </row>
        <row r="113">
          <cell r="A113" t="str">
            <v>KI ANGELIM</v>
          </cell>
          <cell r="B113" t="str">
            <v>08/2025</v>
          </cell>
          <cell r="H113" t="str">
            <v>MADEIRA FUTURA FILIAL</v>
          </cell>
          <cell r="K113">
            <v>3676.8</v>
          </cell>
          <cell r="L113">
            <v>0</v>
          </cell>
        </row>
        <row r="114">
          <cell r="A114" t="str">
            <v>KI ANGELIM</v>
          </cell>
          <cell r="B114" t="str">
            <v>06/2025</v>
          </cell>
          <cell r="H114" t="str">
            <v>MADEIRA FUTURA FILIAL</v>
          </cell>
          <cell r="K114">
            <v>3649.25</v>
          </cell>
          <cell r="L114">
            <v>0</v>
          </cell>
        </row>
        <row r="115">
          <cell r="A115" t="str">
            <v>KI ANGELIM</v>
          </cell>
          <cell r="B115" t="str">
            <v>08/2025</v>
          </cell>
          <cell r="H115" t="str">
            <v>MADEIRA FUTURA FILIAL</v>
          </cell>
          <cell r="K115">
            <v>3629.95</v>
          </cell>
          <cell r="L115">
            <v>435.59</v>
          </cell>
        </row>
        <row r="116">
          <cell r="A116" t="str">
            <v>KI ANGELIM</v>
          </cell>
          <cell r="B116" t="str">
            <v>05/2025</v>
          </cell>
          <cell r="H116" t="str">
            <v>MADEIRA FUTURA FILIAL</v>
          </cell>
          <cell r="K116">
            <v>3580</v>
          </cell>
          <cell r="L116">
            <v>0</v>
          </cell>
        </row>
        <row r="117">
          <cell r="A117" t="str">
            <v>KI ANGELIM</v>
          </cell>
          <cell r="B117" t="str">
            <v>08/2025</v>
          </cell>
          <cell r="H117" t="str">
            <v>MADEIRA FUTURA FILIAL</v>
          </cell>
          <cell r="K117">
            <v>3546.89</v>
          </cell>
          <cell r="L117">
            <v>425.63</v>
          </cell>
        </row>
        <row r="118">
          <cell r="A118" t="str">
            <v>KI ANGELIM</v>
          </cell>
          <cell r="B118" t="str">
            <v>06/2025</v>
          </cell>
          <cell r="H118" t="str">
            <v>MADEIRA FUTURA FILIAL</v>
          </cell>
          <cell r="K118">
            <v>3376.51</v>
          </cell>
          <cell r="L118">
            <v>405.18</v>
          </cell>
        </row>
        <row r="119">
          <cell r="A119" t="str">
            <v>KI ANGELIM</v>
          </cell>
          <cell r="B119" t="str">
            <v>05/2025</v>
          </cell>
          <cell r="H119" t="str">
            <v>MADEIRA FUTURA FILIAL</v>
          </cell>
          <cell r="K119">
            <v>3161.9</v>
          </cell>
          <cell r="L119">
            <v>0</v>
          </cell>
        </row>
        <row r="120">
          <cell r="A120" t="str">
            <v>KI ANGELIM</v>
          </cell>
          <cell r="B120" t="str">
            <v>08/2025</v>
          </cell>
          <cell r="H120" t="str">
            <v>MADEIRA FUTURA FILIAL</v>
          </cell>
          <cell r="K120">
            <v>3154.46</v>
          </cell>
          <cell r="L120">
            <v>378.54</v>
          </cell>
        </row>
        <row r="121">
          <cell r="A121" t="str">
            <v>KI ANGELIM</v>
          </cell>
          <cell r="B121" t="str">
            <v>09/2025</v>
          </cell>
          <cell r="H121" t="str">
            <v>MADEIRA FUTURA FILIAL</v>
          </cell>
          <cell r="K121">
            <v>3073.57</v>
          </cell>
          <cell r="L121">
            <v>368.83</v>
          </cell>
        </row>
        <row r="122">
          <cell r="A122" t="str">
            <v>KI ANGELIM</v>
          </cell>
          <cell r="B122" t="str">
            <v>09/2025</v>
          </cell>
          <cell r="H122" t="str">
            <v>MADEIRA FUTURA FILIAL</v>
          </cell>
          <cell r="K122">
            <v>3073.57</v>
          </cell>
          <cell r="L122">
            <v>368.83</v>
          </cell>
        </row>
        <row r="123">
          <cell r="A123" t="str">
            <v>KI ANGELIM</v>
          </cell>
          <cell r="B123" t="str">
            <v>08/2025</v>
          </cell>
          <cell r="H123" t="str">
            <v>MADEIRA FUTURA FILIAL</v>
          </cell>
          <cell r="K123">
            <v>3006.52</v>
          </cell>
          <cell r="L123">
            <v>360.78</v>
          </cell>
        </row>
        <row r="124">
          <cell r="A124" t="str">
            <v>KI ANGELIM</v>
          </cell>
          <cell r="B124" t="str">
            <v>08/2025</v>
          </cell>
          <cell r="H124" t="str">
            <v>MADEIRA FUTURA FILIAL</v>
          </cell>
          <cell r="K124">
            <v>2921.18</v>
          </cell>
          <cell r="L124">
            <v>350.54</v>
          </cell>
        </row>
        <row r="125">
          <cell r="A125" t="str">
            <v>KI ANGELIM</v>
          </cell>
          <cell r="B125" t="str">
            <v>09/2025</v>
          </cell>
          <cell r="H125" t="str">
            <v>MADEIRA FUTURA FILIAL</v>
          </cell>
          <cell r="K125">
            <v>2750.1</v>
          </cell>
          <cell r="L125">
            <v>330.01</v>
          </cell>
        </row>
        <row r="126">
          <cell r="A126" t="str">
            <v>KI ANGELIM</v>
          </cell>
          <cell r="B126" t="str">
            <v>09/2025</v>
          </cell>
          <cell r="H126" t="str">
            <v>MADEIRA FUTURA FILIAL</v>
          </cell>
          <cell r="K126">
            <v>2750.1</v>
          </cell>
          <cell r="L126">
            <v>330.01</v>
          </cell>
        </row>
        <row r="127">
          <cell r="A127" t="str">
            <v>KI ANGELIM</v>
          </cell>
          <cell r="B127" t="str">
            <v>04/2025</v>
          </cell>
          <cell r="H127" t="str">
            <v>MADEIRA FUTURA FILIAL</v>
          </cell>
          <cell r="K127">
            <v>2612.5</v>
          </cell>
          <cell r="L127">
            <v>0</v>
          </cell>
        </row>
        <row r="128">
          <cell r="A128" t="str">
            <v>KI ANGELIM</v>
          </cell>
          <cell r="B128" t="str">
            <v>04/2025</v>
          </cell>
          <cell r="H128" t="str">
            <v>MADEIRA FUTURA FILIAL</v>
          </cell>
          <cell r="K128">
            <v>2612.5</v>
          </cell>
          <cell r="L128">
            <v>0</v>
          </cell>
        </row>
        <row r="129">
          <cell r="A129" t="str">
            <v>KI ANGELIM</v>
          </cell>
          <cell r="B129" t="str">
            <v>04/2025</v>
          </cell>
          <cell r="H129" t="str">
            <v>MADEIRA FUTURA FILIAL</v>
          </cell>
          <cell r="K129">
            <v>2533.6799999999998</v>
          </cell>
          <cell r="L129">
            <v>304.04000000000002</v>
          </cell>
        </row>
        <row r="130">
          <cell r="A130" t="str">
            <v>KI ANGELIM</v>
          </cell>
          <cell r="B130" t="str">
            <v>04/2025</v>
          </cell>
          <cell r="H130" t="str">
            <v>MADEIRA FUTURA FILIAL</v>
          </cell>
          <cell r="K130">
            <v>2462.75</v>
          </cell>
          <cell r="L130">
            <v>0</v>
          </cell>
        </row>
        <row r="131">
          <cell r="A131" t="str">
            <v>KI ANGELIM</v>
          </cell>
          <cell r="B131" t="str">
            <v>04/2025</v>
          </cell>
          <cell r="H131" t="str">
            <v>MADEIRA FUTURA FILIAL</v>
          </cell>
          <cell r="K131">
            <v>2462.75</v>
          </cell>
          <cell r="L131">
            <v>0</v>
          </cell>
        </row>
        <row r="132">
          <cell r="A132" t="str">
            <v>KI ANGELIM</v>
          </cell>
          <cell r="B132" t="str">
            <v>04/2025</v>
          </cell>
          <cell r="H132" t="str">
            <v>MADEIRA FUTURA FILIAL</v>
          </cell>
          <cell r="K132">
            <v>2418.27</v>
          </cell>
          <cell r="L132">
            <v>0</v>
          </cell>
        </row>
        <row r="133">
          <cell r="A133" t="str">
            <v>KI ANGELIM</v>
          </cell>
          <cell r="B133" t="str">
            <v>05/2025</v>
          </cell>
          <cell r="H133" t="str">
            <v>MADEIRA FUTURA FILIAL</v>
          </cell>
          <cell r="K133">
            <v>2290</v>
          </cell>
          <cell r="L133">
            <v>0</v>
          </cell>
        </row>
        <row r="134">
          <cell r="A134" t="str">
            <v>KI ANGELIM</v>
          </cell>
          <cell r="B134" t="str">
            <v>04/2025</v>
          </cell>
          <cell r="H134" t="str">
            <v>MADEIRA FUTURA FILIAL</v>
          </cell>
          <cell r="K134">
            <v>2274.48</v>
          </cell>
          <cell r="L134">
            <v>272.94</v>
          </cell>
        </row>
        <row r="135">
          <cell r="A135" t="str">
            <v>KI ANGELIM</v>
          </cell>
          <cell r="B135" t="str">
            <v>05/2025</v>
          </cell>
          <cell r="H135" t="str">
            <v>MADEIRA FUTURA FILIAL</v>
          </cell>
          <cell r="K135">
            <v>2254.5</v>
          </cell>
          <cell r="L135">
            <v>0</v>
          </cell>
        </row>
        <row r="136">
          <cell r="A136" t="str">
            <v>KI ANGELIM</v>
          </cell>
          <cell r="B136" t="str">
            <v>07/2025</v>
          </cell>
          <cell r="H136" t="str">
            <v>MADEIRA FUTURA FILIAL</v>
          </cell>
          <cell r="K136">
            <v>2136</v>
          </cell>
          <cell r="L136">
            <v>0</v>
          </cell>
        </row>
        <row r="137">
          <cell r="A137" t="str">
            <v>KI ANGELIM</v>
          </cell>
          <cell r="B137" t="str">
            <v>07/2025</v>
          </cell>
          <cell r="H137" t="str">
            <v>MADEIRA FUTURA FILIAL</v>
          </cell>
          <cell r="K137">
            <v>2136</v>
          </cell>
          <cell r="L137">
            <v>0</v>
          </cell>
        </row>
        <row r="138">
          <cell r="A138" t="str">
            <v>KI ANGELIM</v>
          </cell>
          <cell r="B138" t="str">
            <v>04/2025</v>
          </cell>
          <cell r="H138" t="str">
            <v>MADEIRA FUTURA FILIAL</v>
          </cell>
          <cell r="K138">
            <v>2124.25</v>
          </cell>
          <cell r="L138">
            <v>0</v>
          </cell>
        </row>
        <row r="139">
          <cell r="A139" t="str">
            <v>KI ANGELIM</v>
          </cell>
          <cell r="B139" t="str">
            <v>04/2025</v>
          </cell>
          <cell r="H139" t="str">
            <v>MADEIRA FUTURA FILIAL</v>
          </cell>
          <cell r="K139">
            <v>2124.25</v>
          </cell>
          <cell r="L139">
            <v>0</v>
          </cell>
        </row>
        <row r="140">
          <cell r="A140" t="str">
            <v>KI ANGELIM</v>
          </cell>
          <cell r="B140" t="str">
            <v>06/2025</v>
          </cell>
          <cell r="H140" t="str">
            <v>MADEIRA FUTURA FILIAL</v>
          </cell>
          <cell r="K140">
            <v>2113.34</v>
          </cell>
          <cell r="L140">
            <v>253.6</v>
          </cell>
        </row>
        <row r="141">
          <cell r="A141" t="str">
            <v>KI ANGELIM</v>
          </cell>
          <cell r="B141" t="str">
            <v>05/2025</v>
          </cell>
          <cell r="H141" t="str">
            <v>MADEIRA FUTURA FILIAL</v>
          </cell>
          <cell r="K141">
            <v>1971.82</v>
          </cell>
          <cell r="L141">
            <v>236.62</v>
          </cell>
        </row>
        <row r="142">
          <cell r="A142" t="str">
            <v>KI ANGELIM</v>
          </cell>
          <cell r="B142" t="str">
            <v>05/2025</v>
          </cell>
          <cell r="H142" t="str">
            <v>MADEIRA FUTURA FILIAL</v>
          </cell>
          <cell r="K142">
            <v>1971.82</v>
          </cell>
          <cell r="L142">
            <v>236.62</v>
          </cell>
        </row>
        <row r="143">
          <cell r="A143" t="str">
            <v>KI ANGELIM</v>
          </cell>
          <cell r="B143" t="str">
            <v>06/2025</v>
          </cell>
          <cell r="H143" t="str">
            <v>MADEIRA FUTURA FILIAL</v>
          </cell>
          <cell r="K143">
            <v>1950.05</v>
          </cell>
          <cell r="L143">
            <v>234.01</v>
          </cell>
        </row>
        <row r="144">
          <cell r="A144" t="str">
            <v>KI ANGELIM</v>
          </cell>
          <cell r="B144" t="str">
            <v>05/2025</v>
          </cell>
          <cell r="H144" t="str">
            <v>MADEIRA FUTURA FILIAL</v>
          </cell>
          <cell r="K144">
            <v>1800</v>
          </cell>
          <cell r="L144">
            <v>0</v>
          </cell>
        </row>
        <row r="145">
          <cell r="A145" t="str">
            <v>KI ANGELIM</v>
          </cell>
          <cell r="B145" t="str">
            <v>04/2025</v>
          </cell>
          <cell r="H145" t="str">
            <v>MADEIRA FUTURA FILIAL</v>
          </cell>
          <cell r="K145">
            <v>1784.75</v>
          </cell>
          <cell r="L145">
            <v>0</v>
          </cell>
        </row>
        <row r="146">
          <cell r="A146" t="str">
            <v>KI ANGELIM</v>
          </cell>
          <cell r="B146" t="str">
            <v>04/2025</v>
          </cell>
          <cell r="H146" t="str">
            <v>MADEIRA FUTURA FILIAL</v>
          </cell>
          <cell r="K146">
            <v>1784.75</v>
          </cell>
          <cell r="L146">
            <v>0</v>
          </cell>
        </row>
        <row r="147">
          <cell r="A147" t="str">
            <v>KI ANGELIM</v>
          </cell>
          <cell r="B147" t="str">
            <v>08/2025</v>
          </cell>
          <cell r="H147" t="str">
            <v>MADEIRA FUTURA FILIAL</v>
          </cell>
          <cell r="K147">
            <v>1764.63</v>
          </cell>
          <cell r="L147">
            <v>211.76</v>
          </cell>
        </row>
        <row r="148">
          <cell r="A148" t="str">
            <v>KI ANGELIM</v>
          </cell>
          <cell r="B148" t="str">
            <v>06/2025</v>
          </cell>
          <cell r="H148" t="str">
            <v>MADEIRA FUTURA FILIAL</v>
          </cell>
          <cell r="K148">
            <v>1740.1</v>
          </cell>
          <cell r="L148">
            <v>208.81</v>
          </cell>
        </row>
        <row r="149">
          <cell r="A149" t="str">
            <v>KI ANGELIM</v>
          </cell>
          <cell r="B149" t="str">
            <v>05/2025</v>
          </cell>
          <cell r="H149" t="str">
            <v>MADEIRA FUTURA FILIAL</v>
          </cell>
          <cell r="K149">
            <v>1678.5</v>
          </cell>
          <cell r="L149">
            <v>0</v>
          </cell>
        </row>
        <row r="150">
          <cell r="A150" t="str">
            <v>KI ANGELIM</v>
          </cell>
          <cell r="B150" t="str">
            <v>06/2025</v>
          </cell>
          <cell r="H150" t="str">
            <v>MADEIRA FUTURA FILIAL</v>
          </cell>
          <cell r="K150">
            <v>1611</v>
          </cell>
          <cell r="L150">
            <v>0</v>
          </cell>
        </row>
        <row r="151">
          <cell r="A151" t="str">
            <v>KI ANGELIM</v>
          </cell>
          <cell r="B151" t="str">
            <v>09/2025</v>
          </cell>
          <cell r="H151" t="str">
            <v>MADEIRA FUTURA FILIAL</v>
          </cell>
          <cell r="K151">
            <v>1554.43</v>
          </cell>
          <cell r="L151">
            <v>186.53</v>
          </cell>
        </row>
        <row r="152">
          <cell r="A152" t="str">
            <v>KI ANGELIM</v>
          </cell>
          <cell r="B152" t="str">
            <v>09/2025</v>
          </cell>
          <cell r="H152" t="str">
            <v>MADEIRA FUTURA FILIAL</v>
          </cell>
          <cell r="K152">
            <v>1554.43</v>
          </cell>
          <cell r="L152">
            <v>186.53</v>
          </cell>
        </row>
        <row r="153">
          <cell r="A153" t="str">
            <v>KI ANGELIM</v>
          </cell>
          <cell r="B153" t="str">
            <v>09/2025</v>
          </cell>
          <cell r="H153" t="str">
            <v>MADEIRA FUTURA FILIAL</v>
          </cell>
          <cell r="K153">
            <v>1464.67</v>
          </cell>
          <cell r="L153">
            <v>175.76</v>
          </cell>
        </row>
        <row r="154">
          <cell r="A154" t="str">
            <v>KI ANGELIM</v>
          </cell>
          <cell r="B154" t="str">
            <v>09/2025</v>
          </cell>
          <cell r="H154" t="str">
            <v>MADEIRA FUTURA FILIAL</v>
          </cell>
          <cell r="K154">
            <v>1464.67</v>
          </cell>
          <cell r="L154">
            <v>175.76</v>
          </cell>
        </row>
        <row r="155">
          <cell r="A155" t="str">
            <v>KI ANGELIM</v>
          </cell>
          <cell r="B155" t="str">
            <v>04/2025</v>
          </cell>
          <cell r="H155" t="str">
            <v>MADEIRA FUTURA FILIAL</v>
          </cell>
          <cell r="K155">
            <v>1436.58</v>
          </cell>
          <cell r="L155">
            <v>172.39</v>
          </cell>
        </row>
        <row r="156">
          <cell r="A156" t="str">
            <v>KI ANGELIM</v>
          </cell>
          <cell r="B156" t="str">
            <v>04/2025</v>
          </cell>
          <cell r="H156" t="str">
            <v>MADEIRA FUTURA FILIAL</v>
          </cell>
          <cell r="K156">
            <v>1425</v>
          </cell>
          <cell r="L156">
            <v>0</v>
          </cell>
        </row>
        <row r="157">
          <cell r="A157" t="str">
            <v>KI ANGELIM</v>
          </cell>
          <cell r="B157" t="str">
            <v>04/2025</v>
          </cell>
          <cell r="H157" t="str">
            <v>MADEIRA FUTURA FILIAL</v>
          </cell>
          <cell r="K157">
            <v>1425</v>
          </cell>
          <cell r="L157">
            <v>0</v>
          </cell>
        </row>
        <row r="158">
          <cell r="A158" t="str">
            <v>KI ANGELIM</v>
          </cell>
          <cell r="B158" t="str">
            <v>05/2025</v>
          </cell>
          <cell r="H158" t="str">
            <v>MADEIRA FUTURA FILIAL</v>
          </cell>
          <cell r="K158">
            <v>1339.5</v>
          </cell>
          <cell r="L158">
            <v>0</v>
          </cell>
        </row>
        <row r="159">
          <cell r="A159" t="str">
            <v>KI ANGELIM</v>
          </cell>
          <cell r="B159" t="str">
            <v>08/2025</v>
          </cell>
          <cell r="H159" t="str">
            <v>MADEIRA FUTURA FILIAL</v>
          </cell>
          <cell r="K159">
            <v>1332.24</v>
          </cell>
          <cell r="L159">
            <v>0</v>
          </cell>
        </row>
        <row r="160">
          <cell r="A160" t="str">
            <v>KI ANGELIM</v>
          </cell>
          <cell r="B160" t="str">
            <v>08/2025</v>
          </cell>
          <cell r="H160" t="str">
            <v>MADEIRA FUTURA FILIAL</v>
          </cell>
          <cell r="K160">
            <v>1332.24</v>
          </cell>
          <cell r="L160">
            <v>0</v>
          </cell>
        </row>
        <row r="161">
          <cell r="A161" t="str">
            <v>KI ANGELIM</v>
          </cell>
          <cell r="B161" t="str">
            <v>09/2025</v>
          </cell>
          <cell r="H161" t="str">
            <v>MADEIRA FUTURA FILIAL</v>
          </cell>
          <cell r="K161">
            <v>1177</v>
          </cell>
          <cell r="L161">
            <v>0</v>
          </cell>
        </row>
        <row r="162">
          <cell r="A162" t="str">
            <v>KI ANGELIM</v>
          </cell>
          <cell r="B162" t="str">
            <v>05/2025</v>
          </cell>
          <cell r="H162" t="str">
            <v>MADEIRA FUTURA FILIAL</v>
          </cell>
          <cell r="K162">
            <v>1123.98</v>
          </cell>
          <cell r="L162">
            <v>0</v>
          </cell>
        </row>
        <row r="163">
          <cell r="A163" t="str">
            <v>KI ANGELIM</v>
          </cell>
          <cell r="B163" t="str">
            <v>07/2025</v>
          </cell>
          <cell r="H163" t="str">
            <v>MADEIRA FUTURA FILIAL</v>
          </cell>
          <cell r="K163">
            <v>1100</v>
          </cell>
          <cell r="L163">
            <v>0</v>
          </cell>
        </row>
        <row r="164">
          <cell r="A164" t="str">
            <v>KI ANGELIM</v>
          </cell>
          <cell r="B164" t="str">
            <v>07/2025</v>
          </cell>
          <cell r="H164" t="str">
            <v>MADEIRA FUTURA FILIAL</v>
          </cell>
          <cell r="K164">
            <v>1100</v>
          </cell>
          <cell r="L164">
            <v>0</v>
          </cell>
        </row>
        <row r="165">
          <cell r="A165" t="str">
            <v>KI ANGELIM</v>
          </cell>
          <cell r="B165" t="str">
            <v>07/2025</v>
          </cell>
          <cell r="H165" t="str">
            <v>MADEIRA FUTURA FILIAL</v>
          </cell>
          <cell r="K165">
            <v>1100</v>
          </cell>
          <cell r="L165">
            <v>0</v>
          </cell>
        </row>
        <row r="166">
          <cell r="A166" t="str">
            <v>KI ANGELIM</v>
          </cell>
          <cell r="B166" t="str">
            <v>07/2025</v>
          </cell>
          <cell r="H166" t="str">
            <v>MADEIRA FUTURA FILIAL</v>
          </cell>
          <cell r="K166">
            <v>1100</v>
          </cell>
          <cell r="L166">
            <v>0</v>
          </cell>
        </row>
        <row r="167">
          <cell r="A167" t="str">
            <v>KI ANGELIM</v>
          </cell>
          <cell r="B167" t="str">
            <v>04/2025</v>
          </cell>
          <cell r="H167" t="str">
            <v>MADEIRA FUTURA FILIAL</v>
          </cell>
          <cell r="K167">
            <v>1087.5</v>
          </cell>
          <cell r="L167">
            <v>0</v>
          </cell>
        </row>
        <row r="168">
          <cell r="A168" t="str">
            <v>KI ANGELIM</v>
          </cell>
          <cell r="B168" t="str">
            <v>04/2025</v>
          </cell>
          <cell r="H168" t="str">
            <v>MADEIRA FUTURA FILIAL</v>
          </cell>
          <cell r="K168">
            <v>1087.5</v>
          </cell>
          <cell r="L168">
            <v>0</v>
          </cell>
        </row>
        <row r="169">
          <cell r="A169" t="str">
            <v>KI ANGELIM</v>
          </cell>
          <cell r="B169" t="str">
            <v>08/2025</v>
          </cell>
          <cell r="H169" t="str">
            <v>MADEIRA FUTURA FILIAL</v>
          </cell>
          <cell r="K169">
            <v>1019.45</v>
          </cell>
          <cell r="L169">
            <v>122.33</v>
          </cell>
        </row>
        <row r="170">
          <cell r="A170" t="str">
            <v>KI ANGELIM</v>
          </cell>
          <cell r="B170" t="str">
            <v>05/2025</v>
          </cell>
          <cell r="H170" t="str">
            <v>MADEIRA FUTURA FILIAL</v>
          </cell>
          <cell r="K170">
            <v>1002</v>
          </cell>
          <cell r="L170">
            <v>0</v>
          </cell>
        </row>
        <row r="171">
          <cell r="A171" t="str">
            <v>KI ANGELIM</v>
          </cell>
          <cell r="B171" t="str">
            <v>05/2025</v>
          </cell>
          <cell r="H171" t="str">
            <v>MADEIRA FUTURA FILIAL</v>
          </cell>
          <cell r="K171">
            <v>963</v>
          </cell>
          <cell r="L171">
            <v>0</v>
          </cell>
        </row>
        <row r="172">
          <cell r="A172" t="str">
            <v>KI ANGELIM</v>
          </cell>
          <cell r="B172" t="str">
            <v>08/2025</v>
          </cell>
          <cell r="H172" t="str">
            <v>MADEIRA FUTURA FILIAL</v>
          </cell>
          <cell r="K172">
            <v>958.74</v>
          </cell>
          <cell r="L172">
            <v>115.05</v>
          </cell>
        </row>
        <row r="173">
          <cell r="A173" t="str">
            <v>KI ANGELIM</v>
          </cell>
          <cell r="B173" t="str">
            <v>06/2025</v>
          </cell>
          <cell r="H173" t="str">
            <v>MADEIRA FUTURA FILIAL</v>
          </cell>
          <cell r="K173">
            <v>916</v>
          </cell>
          <cell r="L173">
            <v>0</v>
          </cell>
        </row>
        <row r="174">
          <cell r="A174" t="str">
            <v>KI ANGELIM</v>
          </cell>
          <cell r="B174" t="str">
            <v>04/2025</v>
          </cell>
          <cell r="H174" t="str">
            <v>MADEIRA FUTURA FILIAL</v>
          </cell>
          <cell r="K174">
            <v>914.06</v>
          </cell>
          <cell r="L174">
            <v>0</v>
          </cell>
        </row>
        <row r="175">
          <cell r="A175" t="str">
            <v>KI ANGELIM</v>
          </cell>
          <cell r="B175" t="str">
            <v>04/2025</v>
          </cell>
          <cell r="H175" t="str">
            <v>MADEIRA FUTURA FILIAL</v>
          </cell>
          <cell r="K175">
            <v>907.2</v>
          </cell>
          <cell r="L175">
            <v>108.86</v>
          </cell>
        </row>
        <row r="176">
          <cell r="A176" t="str">
            <v>KI ANGELIM</v>
          </cell>
          <cell r="B176" t="str">
            <v>09/2025</v>
          </cell>
          <cell r="H176" t="str">
            <v>MADEIRA FUTURA FILIAL</v>
          </cell>
          <cell r="K176">
            <v>893.28</v>
          </cell>
          <cell r="L176">
            <v>107.19</v>
          </cell>
        </row>
        <row r="177">
          <cell r="A177" t="str">
            <v>KI ANGELIM</v>
          </cell>
          <cell r="B177" t="str">
            <v>09/2025</v>
          </cell>
          <cell r="H177" t="str">
            <v>MADEIRA FUTURA FILIAL</v>
          </cell>
          <cell r="K177">
            <v>893.28</v>
          </cell>
          <cell r="L177">
            <v>107.19</v>
          </cell>
        </row>
        <row r="178">
          <cell r="A178" t="str">
            <v>KI ANGELIM</v>
          </cell>
          <cell r="B178" t="str">
            <v>06/2025</v>
          </cell>
          <cell r="H178" t="str">
            <v>MADEIRA FUTURA FILIAL</v>
          </cell>
          <cell r="K178">
            <v>885.6</v>
          </cell>
          <cell r="L178">
            <v>106.27</v>
          </cell>
        </row>
        <row r="179">
          <cell r="A179" t="str">
            <v>KI ANGELIM</v>
          </cell>
          <cell r="B179" t="str">
            <v>08/2025</v>
          </cell>
          <cell r="H179" t="str">
            <v>MADEIRA FUTURA FILIAL</v>
          </cell>
          <cell r="K179">
            <v>803.19</v>
          </cell>
          <cell r="L179">
            <v>96.38</v>
          </cell>
        </row>
        <row r="180">
          <cell r="A180" t="str">
            <v>KI ANGELIM</v>
          </cell>
          <cell r="B180" t="str">
            <v>04/2025</v>
          </cell>
          <cell r="H180" t="str">
            <v>MADEIRA FUTURA FILIAL</v>
          </cell>
          <cell r="K180">
            <v>765.9</v>
          </cell>
          <cell r="L180">
            <v>91.91</v>
          </cell>
        </row>
        <row r="181">
          <cell r="A181" t="str">
            <v>KI ANGELIM</v>
          </cell>
          <cell r="B181" t="str">
            <v>04/2025</v>
          </cell>
          <cell r="H181" t="str">
            <v>MADEIRA FUTURA FILIAL</v>
          </cell>
          <cell r="K181">
            <v>752.13</v>
          </cell>
          <cell r="L181">
            <v>0</v>
          </cell>
        </row>
        <row r="182">
          <cell r="A182" t="str">
            <v>KI ANGELIM</v>
          </cell>
          <cell r="B182" t="str">
            <v>08/2025</v>
          </cell>
          <cell r="H182" t="str">
            <v>MADEIRA FUTURA FILIAL</v>
          </cell>
          <cell r="K182">
            <v>707.85</v>
          </cell>
          <cell r="L182">
            <v>0</v>
          </cell>
        </row>
        <row r="183">
          <cell r="A183" t="str">
            <v>KI ANGELIM</v>
          </cell>
          <cell r="B183" t="str">
            <v>06/2025</v>
          </cell>
          <cell r="H183" t="str">
            <v>MADEIRA FUTURA FILIAL</v>
          </cell>
          <cell r="K183">
            <v>703.06</v>
          </cell>
          <cell r="L183">
            <v>84.37</v>
          </cell>
        </row>
        <row r="184">
          <cell r="A184" t="str">
            <v>KI ANGELIM</v>
          </cell>
          <cell r="B184" t="str">
            <v>05/2025</v>
          </cell>
          <cell r="H184" t="str">
            <v>MADEIRA FUTURA FILIAL</v>
          </cell>
          <cell r="K184">
            <v>672.49</v>
          </cell>
          <cell r="L184">
            <v>0</v>
          </cell>
        </row>
        <row r="185">
          <cell r="A185" t="str">
            <v>KI ANGELIM</v>
          </cell>
          <cell r="B185" t="str">
            <v>05/2025</v>
          </cell>
          <cell r="H185" t="str">
            <v>MADEIRA FUTURA FILIAL</v>
          </cell>
          <cell r="K185">
            <v>632.91999999999996</v>
          </cell>
          <cell r="L185">
            <v>0</v>
          </cell>
        </row>
        <row r="186">
          <cell r="A186" t="str">
            <v>KI ANGELIM</v>
          </cell>
          <cell r="B186" t="str">
            <v>06/2025</v>
          </cell>
          <cell r="H186" t="str">
            <v>MADEIRA FUTURA FILIAL</v>
          </cell>
          <cell r="K186">
            <v>601.34</v>
          </cell>
          <cell r="L186">
            <v>72.16</v>
          </cell>
        </row>
        <row r="187">
          <cell r="A187" t="str">
            <v>KI ANGELIM</v>
          </cell>
          <cell r="B187" t="str">
            <v>06/2025</v>
          </cell>
          <cell r="H187" t="str">
            <v>MADEIRA FUTURA FILIAL</v>
          </cell>
          <cell r="K187">
            <v>580.61</v>
          </cell>
          <cell r="L187">
            <v>69.67</v>
          </cell>
        </row>
        <row r="188">
          <cell r="A188" t="str">
            <v>KI ANGELIM</v>
          </cell>
          <cell r="B188" t="str">
            <v>06/2025</v>
          </cell>
          <cell r="H188" t="str">
            <v>MADEIRA FUTURA FILIAL</v>
          </cell>
          <cell r="K188">
            <v>421.12</v>
          </cell>
          <cell r="L188">
            <v>50.53</v>
          </cell>
        </row>
        <row r="189">
          <cell r="A189" t="str">
            <v>KI ANGELIM</v>
          </cell>
          <cell r="B189" t="str">
            <v>06/2025</v>
          </cell>
          <cell r="H189" t="str">
            <v>MADEIRA FUTURA FILIAL</v>
          </cell>
          <cell r="K189">
            <v>407.15</v>
          </cell>
          <cell r="L189">
            <v>48.86</v>
          </cell>
        </row>
        <row r="190">
          <cell r="A190" t="str">
            <v>KI ANGELIM</v>
          </cell>
          <cell r="B190" t="str">
            <v>05/2025</v>
          </cell>
          <cell r="H190" t="str">
            <v>MADEIRA FUTURA FILIAL</v>
          </cell>
          <cell r="K190">
            <v>373.01</v>
          </cell>
          <cell r="L190">
            <v>0</v>
          </cell>
        </row>
        <row r="191">
          <cell r="A191" t="str">
            <v>KI ANGELIM</v>
          </cell>
          <cell r="B191" t="str">
            <v>05/2025</v>
          </cell>
          <cell r="H191" t="str">
            <v>MADEIRA FUTURA FILIAL</v>
          </cell>
          <cell r="K191">
            <v>372.78</v>
          </cell>
          <cell r="L191">
            <v>0</v>
          </cell>
        </row>
        <row r="192">
          <cell r="A192" t="str">
            <v>KI ANGELIM</v>
          </cell>
          <cell r="B192" t="str">
            <v>05/2025</v>
          </cell>
          <cell r="H192" t="str">
            <v>MADEIRA FUTURA FILIAL</v>
          </cell>
          <cell r="K192">
            <v>339.26</v>
          </cell>
          <cell r="L192">
            <v>0</v>
          </cell>
        </row>
        <row r="193">
          <cell r="A193" t="str">
            <v>KI ANGELIM</v>
          </cell>
          <cell r="B193" t="str">
            <v>05/2025</v>
          </cell>
          <cell r="H193" t="str">
            <v>MADEIRA FUTURA FILIAL</v>
          </cell>
          <cell r="K193">
            <v>331.36</v>
          </cell>
          <cell r="L193">
            <v>0</v>
          </cell>
        </row>
        <row r="194">
          <cell r="A194" t="str">
            <v>KI ANGELIM</v>
          </cell>
          <cell r="B194" t="str">
            <v>05/2025</v>
          </cell>
          <cell r="H194" t="str">
            <v>MADEIRA FUTURA FILIAL</v>
          </cell>
          <cell r="K194">
            <v>156.75</v>
          </cell>
          <cell r="L194">
            <v>0</v>
          </cell>
        </row>
        <row r="195">
          <cell r="A195" t="str">
            <v>KI ANGELIM</v>
          </cell>
          <cell r="B195" t="str">
            <v>06/2025</v>
          </cell>
          <cell r="H195" t="str">
            <v>MADEIRA FUTURA FILIAL</v>
          </cell>
          <cell r="K195">
            <v>86.4</v>
          </cell>
          <cell r="L195">
            <v>10.37</v>
          </cell>
        </row>
        <row r="196">
          <cell r="A196" t="str">
            <v>KI ANGELIM</v>
          </cell>
          <cell r="B196" t="str">
            <v>05/2025</v>
          </cell>
          <cell r="H196" t="str">
            <v>MADEIRA FUTURA FILIAL</v>
          </cell>
          <cell r="K196">
            <v>75.05</v>
          </cell>
          <cell r="L196">
            <v>0</v>
          </cell>
        </row>
        <row r="197">
          <cell r="A197" t="str">
            <v>KI ANGELIM</v>
          </cell>
          <cell r="B197" t="str">
            <v>06/2025</v>
          </cell>
          <cell r="H197" t="str">
            <v>MADEIRA FUTURA FILIAL</v>
          </cell>
          <cell r="K197">
            <v>33.700000000000003</v>
          </cell>
          <cell r="L197">
            <v>4.04</v>
          </cell>
        </row>
        <row r="198">
          <cell r="A198" t="str">
            <v>KI ANGELIM</v>
          </cell>
          <cell r="B198" t="str">
            <v>08/2025</v>
          </cell>
          <cell r="H198" t="str">
            <v>MADEIRA FUTURA FILIAL</v>
          </cell>
          <cell r="K198">
            <v>29.03</v>
          </cell>
          <cell r="L198">
            <v>3.48</v>
          </cell>
        </row>
        <row r="199">
          <cell r="A199" t="str">
            <v>KI ANGELIM</v>
          </cell>
          <cell r="B199" t="str">
            <v>05/2025</v>
          </cell>
          <cell r="H199" t="str">
            <v>MADEIRA FUTURA FILIAL</v>
          </cell>
          <cell r="K199">
            <v>1.49</v>
          </cell>
          <cell r="L199">
            <v>0.3</v>
          </cell>
        </row>
        <row r="200">
          <cell r="A200" t="str">
            <v>KI ANGELIM</v>
          </cell>
          <cell r="B200" t="str">
            <v>09/2025</v>
          </cell>
          <cell r="H200" t="str">
            <v>MANUTENCAO INTERNA</v>
          </cell>
          <cell r="K200">
            <v>2298</v>
          </cell>
          <cell r="L200">
            <v>92.31</v>
          </cell>
        </row>
        <row r="201">
          <cell r="A201" t="str">
            <v>KI ANGELIM</v>
          </cell>
          <cell r="B201" t="str">
            <v>08/2025</v>
          </cell>
          <cell r="H201" t="str">
            <v>MANUTENCAO INTERNA</v>
          </cell>
          <cell r="K201">
            <v>1892.85</v>
          </cell>
          <cell r="L201">
            <v>67.709999999999994</v>
          </cell>
        </row>
        <row r="202">
          <cell r="A202" t="str">
            <v>KI ANGELIM</v>
          </cell>
          <cell r="B202" t="str">
            <v>09/2025</v>
          </cell>
          <cell r="H202" t="str">
            <v>MANUTENCAO INTERNA</v>
          </cell>
          <cell r="K202">
            <v>1678</v>
          </cell>
          <cell r="L202">
            <v>67.400000000000006</v>
          </cell>
        </row>
        <row r="203">
          <cell r="A203" t="str">
            <v>KI ANGELIM</v>
          </cell>
          <cell r="B203" t="str">
            <v>05/2025</v>
          </cell>
          <cell r="H203" t="str">
            <v>MANUTENCAO INTERNA</v>
          </cell>
          <cell r="K203">
            <v>300</v>
          </cell>
          <cell r="L203">
            <v>0</v>
          </cell>
        </row>
        <row r="204">
          <cell r="A204" t="str">
            <v>KI ANGELIM</v>
          </cell>
          <cell r="B204" t="str">
            <v>04/2025</v>
          </cell>
          <cell r="H204" t="str">
            <v>MANUTENCAO INTERNA</v>
          </cell>
          <cell r="K204">
            <v>205</v>
          </cell>
          <cell r="L204">
            <v>0</v>
          </cell>
        </row>
        <row r="205">
          <cell r="A205" t="str">
            <v>KI ANGELIM</v>
          </cell>
          <cell r="B205" t="str">
            <v>09/2025</v>
          </cell>
          <cell r="H205" t="str">
            <v>MANUTENCAO INTERNA</v>
          </cell>
          <cell r="K205">
            <v>138.5</v>
          </cell>
          <cell r="L205">
            <v>0</v>
          </cell>
        </row>
        <row r="206">
          <cell r="A206" t="str">
            <v>KI ANGELIM</v>
          </cell>
          <cell r="B206" t="str">
            <v>05/2025</v>
          </cell>
          <cell r="H206" t="str">
            <v>MANUTENCAO INTERNA</v>
          </cell>
          <cell r="K206">
            <v>137.66</v>
          </cell>
          <cell r="L206">
            <v>0</v>
          </cell>
        </row>
        <row r="207">
          <cell r="A207" t="str">
            <v>KI ANGELIM</v>
          </cell>
          <cell r="B207" t="str">
            <v>08/2025</v>
          </cell>
          <cell r="H207" t="str">
            <v>MANUTENCAO INTERNA</v>
          </cell>
          <cell r="K207">
            <v>87</v>
          </cell>
          <cell r="L207">
            <v>3.82</v>
          </cell>
        </row>
        <row r="208">
          <cell r="A208" t="str">
            <v>KI ANGELIM</v>
          </cell>
          <cell r="B208" t="str">
            <v>05/2025</v>
          </cell>
          <cell r="H208" t="str">
            <v>MANUTENCAO INTERNA</v>
          </cell>
          <cell r="K208">
            <v>50</v>
          </cell>
          <cell r="L208">
            <v>0</v>
          </cell>
        </row>
        <row r="209">
          <cell r="A209" t="str">
            <v>KI ANGELIM</v>
          </cell>
          <cell r="B209" t="str">
            <v>09/2025</v>
          </cell>
          <cell r="H209" t="str">
            <v>MANUTENCAO INTERNA</v>
          </cell>
          <cell r="K209">
            <v>43</v>
          </cell>
          <cell r="L209">
            <v>1.57</v>
          </cell>
        </row>
        <row r="210">
          <cell r="A210" t="str">
            <v>KI ANGELIM</v>
          </cell>
          <cell r="B210" t="str">
            <v>09/2025</v>
          </cell>
          <cell r="H210" t="str">
            <v>MANUTENCAO INTERNA</v>
          </cell>
          <cell r="K210">
            <v>40</v>
          </cell>
          <cell r="L210">
            <v>0</v>
          </cell>
        </row>
        <row r="211">
          <cell r="A211" t="str">
            <v>KI ANGELIM</v>
          </cell>
          <cell r="B211" t="str">
            <v>09/2025</v>
          </cell>
          <cell r="H211" t="str">
            <v>MANUTENCAO INTERNA</v>
          </cell>
          <cell r="K211">
            <v>38</v>
          </cell>
          <cell r="L211">
            <v>1.39</v>
          </cell>
        </row>
        <row r="212">
          <cell r="A212" t="str">
            <v>KI ANGELIM</v>
          </cell>
          <cell r="B212" t="str">
            <v>07/2025</v>
          </cell>
          <cell r="H212" t="str">
            <v>MANUTENCAO INTERNA</v>
          </cell>
          <cell r="K212">
            <v>22.9</v>
          </cell>
          <cell r="L212">
            <v>0</v>
          </cell>
        </row>
        <row r="213">
          <cell r="A213" t="str">
            <v>KI ANGELIM</v>
          </cell>
          <cell r="B213" t="str">
            <v>04/2025</v>
          </cell>
          <cell r="H213" t="str">
            <v>MANUTENCAO INTERNA</v>
          </cell>
          <cell r="K213">
            <v>14.78</v>
          </cell>
          <cell r="L213">
            <v>1.03</v>
          </cell>
        </row>
        <row r="214">
          <cell r="A214" t="str">
            <v>KI ANGELIM</v>
          </cell>
          <cell r="B214" t="str">
            <v>05/2025</v>
          </cell>
          <cell r="H214" t="str">
            <v>MANUTENCAO INTERNA</v>
          </cell>
          <cell r="K214">
            <v>6.9</v>
          </cell>
          <cell r="L214">
            <v>0</v>
          </cell>
        </row>
        <row r="215">
          <cell r="A215" t="str">
            <v>KI ANGELIM</v>
          </cell>
          <cell r="B215" t="str">
            <v>09/2025</v>
          </cell>
          <cell r="H215" t="str">
            <v>MANUTENCAO INTERNA</v>
          </cell>
          <cell r="K215">
            <v>4.3899999999999997</v>
          </cell>
          <cell r="L215">
            <v>0</v>
          </cell>
        </row>
        <row r="216">
          <cell r="A216" t="str">
            <v>KI ANGELIM</v>
          </cell>
          <cell r="B216" t="str">
            <v>04/2025</v>
          </cell>
          <cell r="H216" t="str">
            <v>MANUTENCAO INTERNA</v>
          </cell>
          <cell r="K216">
            <v>4.29</v>
          </cell>
          <cell r="L216">
            <v>0</v>
          </cell>
        </row>
        <row r="217">
          <cell r="A217" t="str">
            <v>MULTI MADEIRAS</v>
          </cell>
          <cell r="B217" t="str">
            <v>08/2025</v>
          </cell>
          <cell r="H217" t="str">
            <v>REVENDA</v>
          </cell>
          <cell r="K217">
            <v>13848.38</v>
          </cell>
          <cell r="L217">
            <v>0</v>
          </cell>
        </row>
        <row r="218">
          <cell r="A218" t="str">
            <v>KI ANGELIM</v>
          </cell>
          <cell r="B218" t="str">
            <v>05/2025</v>
          </cell>
          <cell r="H218" t="str">
            <v>REVENDA</v>
          </cell>
          <cell r="K218">
            <v>13097.7</v>
          </cell>
          <cell r="L218">
            <v>1571.72</v>
          </cell>
        </row>
        <row r="219">
          <cell r="A219" t="str">
            <v>MULTI MADEIRAS</v>
          </cell>
          <cell r="B219" t="str">
            <v>08/2025</v>
          </cell>
          <cell r="H219" t="str">
            <v>REVENDA</v>
          </cell>
          <cell r="K219">
            <v>7777.5</v>
          </cell>
          <cell r="L219">
            <v>933.3</v>
          </cell>
        </row>
        <row r="220">
          <cell r="A220" t="str">
            <v>MULTI MADEIRAS</v>
          </cell>
          <cell r="B220" t="str">
            <v>04/2025</v>
          </cell>
          <cell r="H220" t="str">
            <v>REVENDA</v>
          </cell>
          <cell r="K220">
            <v>6800.4</v>
          </cell>
          <cell r="L220">
            <v>1360.08</v>
          </cell>
        </row>
        <row r="221">
          <cell r="A221" t="str">
            <v>KI ANGELIM</v>
          </cell>
          <cell r="B221" t="str">
            <v>05/2025</v>
          </cell>
          <cell r="H221" t="str">
            <v>REVENDA</v>
          </cell>
          <cell r="K221">
            <v>5950.56</v>
          </cell>
          <cell r="L221">
            <v>714.07</v>
          </cell>
        </row>
        <row r="222">
          <cell r="A222" t="str">
            <v>MULTI MADEIRAS</v>
          </cell>
          <cell r="B222" t="str">
            <v>08/2025</v>
          </cell>
          <cell r="H222" t="str">
            <v>REVENDA</v>
          </cell>
          <cell r="K222">
            <v>5415.25</v>
          </cell>
          <cell r="L222">
            <v>617.34</v>
          </cell>
        </row>
        <row r="223">
          <cell r="A223" t="str">
            <v>MULTI MADEIRAS</v>
          </cell>
          <cell r="B223" t="str">
            <v>05/2025</v>
          </cell>
          <cell r="H223" t="str">
            <v>REVENDA</v>
          </cell>
          <cell r="K223">
            <v>4845</v>
          </cell>
          <cell r="L223">
            <v>193.8</v>
          </cell>
        </row>
        <row r="224">
          <cell r="A224" t="str">
            <v>MULTI MADEIRAS</v>
          </cell>
          <cell r="B224" t="str">
            <v>07/2025</v>
          </cell>
          <cell r="H224" t="str">
            <v>REVENDA</v>
          </cell>
          <cell r="K224">
            <v>4641.3</v>
          </cell>
          <cell r="L224">
            <v>928.26</v>
          </cell>
        </row>
        <row r="225">
          <cell r="A225" t="str">
            <v>MULTI MADEIRAS</v>
          </cell>
          <cell r="B225" t="str">
            <v>04/2025</v>
          </cell>
          <cell r="H225" t="str">
            <v>REVENDA</v>
          </cell>
          <cell r="K225">
            <v>4530.05</v>
          </cell>
          <cell r="L225">
            <v>543.61</v>
          </cell>
        </row>
        <row r="226">
          <cell r="A226" t="str">
            <v>MULTI MADEIRAS</v>
          </cell>
          <cell r="B226" t="str">
            <v>04/2025</v>
          </cell>
          <cell r="H226" t="str">
            <v>REVENDA</v>
          </cell>
          <cell r="K226">
            <v>4032</v>
          </cell>
          <cell r="L226">
            <v>483.84</v>
          </cell>
        </row>
        <row r="227">
          <cell r="A227" t="str">
            <v>MULTI MADEIRAS</v>
          </cell>
          <cell r="B227" t="str">
            <v>07/2025</v>
          </cell>
          <cell r="H227" t="str">
            <v>REVENDA</v>
          </cell>
          <cell r="K227">
            <v>3087.9</v>
          </cell>
          <cell r="L227">
            <v>617.58000000000004</v>
          </cell>
        </row>
        <row r="228">
          <cell r="A228" t="str">
            <v>MULTI MADEIRAS</v>
          </cell>
          <cell r="B228" t="str">
            <v>04/2025</v>
          </cell>
          <cell r="H228" t="str">
            <v>REVENDA</v>
          </cell>
          <cell r="K228">
            <v>3087.9</v>
          </cell>
          <cell r="L228">
            <v>617.58000000000004</v>
          </cell>
        </row>
        <row r="229">
          <cell r="A229" t="str">
            <v>MULTI MADEIRAS</v>
          </cell>
          <cell r="B229" t="str">
            <v>07/2025</v>
          </cell>
          <cell r="H229" t="str">
            <v>REVENDA</v>
          </cell>
          <cell r="K229">
            <v>3016.8</v>
          </cell>
          <cell r="L229">
            <v>603.36</v>
          </cell>
        </row>
        <row r="230">
          <cell r="A230" t="str">
            <v>MULTI MADEIRAS</v>
          </cell>
          <cell r="B230" t="str">
            <v>04/2025</v>
          </cell>
          <cell r="H230" t="str">
            <v>REVENDA</v>
          </cell>
          <cell r="K230">
            <v>3016.8</v>
          </cell>
          <cell r="L230">
            <v>603.36</v>
          </cell>
        </row>
        <row r="231">
          <cell r="A231" t="str">
            <v>MULTI MADEIRAS</v>
          </cell>
          <cell r="B231" t="str">
            <v>07/2025</v>
          </cell>
          <cell r="H231" t="str">
            <v>REVENDA</v>
          </cell>
          <cell r="K231">
            <v>2688</v>
          </cell>
          <cell r="L231">
            <v>322.56</v>
          </cell>
        </row>
        <row r="232">
          <cell r="A232" t="str">
            <v>MULTI MADEIRAS</v>
          </cell>
          <cell r="B232" t="str">
            <v>08/2025</v>
          </cell>
          <cell r="H232" t="str">
            <v>REVENDA</v>
          </cell>
          <cell r="K232">
            <v>2596.5700000000002</v>
          </cell>
          <cell r="L232">
            <v>0</v>
          </cell>
        </row>
        <row r="233">
          <cell r="A233" t="str">
            <v>MULTI MADEIRAS</v>
          </cell>
          <cell r="B233" t="str">
            <v>07/2025</v>
          </cell>
          <cell r="H233" t="str">
            <v>REVENDA</v>
          </cell>
          <cell r="K233">
            <v>2532.91</v>
          </cell>
          <cell r="L233">
            <v>101.32</v>
          </cell>
        </row>
        <row r="234">
          <cell r="A234" t="str">
            <v>KI ANGELIM</v>
          </cell>
          <cell r="B234" t="str">
            <v>04/2025</v>
          </cell>
          <cell r="H234" t="str">
            <v>REVENDA</v>
          </cell>
          <cell r="K234">
            <v>2456.91</v>
          </cell>
          <cell r="L234">
            <v>0</v>
          </cell>
        </row>
        <row r="235">
          <cell r="A235" t="str">
            <v>MULTI MADEIRAS</v>
          </cell>
          <cell r="B235" t="str">
            <v>07/2025</v>
          </cell>
          <cell r="H235" t="str">
            <v>REVENDA</v>
          </cell>
          <cell r="K235">
            <v>2332.5</v>
          </cell>
          <cell r="L235">
            <v>466.5</v>
          </cell>
        </row>
        <row r="236">
          <cell r="A236" t="str">
            <v>MULTI MADEIRAS</v>
          </cell>
          <cell r="B236" t="str">
            <v>07/2025</v>
          </cell>
          <cell r="H236" t="str">
            <v>REVENDA</v>
          </cell>
          <cell r="K236">
            <v>2332.5</v>
          </cell>
          <cell r="L236">
            <v>466.5</v>
          </cell>
        </row>
        <row r="237">
          <cell r="A237" t="str">
            <v>MULTI MADEIRAS</v>
          </cell>
          <cell r="B237" t="str">
            <v>05/2025</v>
          </cell>
          <cell r="H237" t="str">
            <v>REVENDA</v>
          </cell>
          <cell r="K237">
            <v>2332.5</v>
          </cell>
          <cell r="L237">
            <v>466.5</v>
          </cell>
        </row>
        <row r="238">
          <cell r="A238" t="str">
            <v>MULTI MADEIRAS</v>
          </cell>
          <cell r="B238" t="str">
            <v>04/2025</v>
          </cell>
          <cell r="H238" t="str">
            <v>REVENDA</v>
          </cell>
          <cell r="K238">
            <v>2332.5</v>
          </cell>
          <cell r="L238">
            <v>466.5</v>
          </cell>
        </row>
        <row r="239">
          <cell r="A239" t="str">
            <v>MULTI MADEIRAS</v>
          </cell>
          <cell r="B239" t="str">
            <v>05/2025</v>
          </cell>
          <cell r="H239" t="str">
            <v>REVENDA</v>
          </cell>
          <cell r="K239">
            <v>2013.6</v>
          </cell>
          <cell r="L239">
            <v>219.68</v>
          </cell>
        </row>
        <row r="240">
          <cell r="A240" t="str">
            <v>MULTI MADEIRAS</v>
          </cell>
          <cell r="B240" t="str">
            <v>09/2025</v>
          </cell>
          <cell r="H240" t="str">
            <v>REVENDA</v>
          </cell>
          <cell r="K240">
            <v>1849</v>
          </cell>
          <cell r="L240">
            <v>221.88</v>
          </cell>
        </row>
        <row r="241">
          <cell r="A241" t="str">
            <v>MULTI MADEIRAS</v>
          </cell>
          <cell r="B241" t="str">
            <v>06/2025</v>
          </cell>
          <cell r="H241" t="str">
            <v>REVENDA</v>
          </cell>
          <cell r="K241">
            <v>1849</v>
          </cell>
          <cell r="L241">
            <v>221.88</v>
          </cell>
        </row>
        <row r="242">
          <cell r="A242" t="str">
            <v>MULTI MADEIRAS</v>
          </cell>
          <cell r="B242" t="str">
            <v>09/2025</v>
          </cell>
          <cell r="H242" t="str">
            <v>REVENDA</v>
          </cell>
          <cell r="K242">
            <v>1849</v>
          </cell>
          <cell r="L242">
            <v>221.88</v>
          </cell>
        </row>
        <row r="243">
          <cell r="A243" t="str">
            <v>MULTI MADEIRAS</v>
          </cell>
          <cell r="B243" t="str">
            <v>08/2025</v>
          </cell>
          <cell r="H243" t="str">
            <v>REVENDA</v>
          </cell>
          <cell r="K243">
            <v>1849</v>
          </cell>
          <cell r="L243">
            <v>221.88</v>
          </cell>
        </row>
        <row r="244">
          <cell r="A244" t="str">
            <v>MULTI MADEIRAS</v>
          </cell>
          <cell r="B244" t="str">
            <v>06/2025</v>
          </cell>
          <cell r="H244" t="str">
            <v>REVENDA</v>
          </cell>
          <cell r="K244">
            <v>1849</v>
          </cell>
          <cell r="L244">
            <v>221.88</v>
          </cell>
        </row>
        <row r="245">
          <cell r="A245" t="str">
            <v>KI ANGELIM</v>
          </cell>
          <cell r="B245" t="str">
            <v>04/2025</v>
          </cell>
          <cell r="H245" t="str">
            <v>REVENDA</v>
          </cell>
          <cell r="K245">
            <v>1708</v>
          </cell>
          <cell r="L245">
            <v>0</v>
          </cell>
        </row>
        <row r="246">
          <cell r="A246" t="str">
            <v>MULTI MADEIRAS</v>
          </cell>
          <cell r="B246" t="str">
            <v>06/2025</v>
          </cell>
          <cell r="H246" t="str">
            <v>REVENDA</v>
          </cell>
          <cell r="K246">
            <v>1670.8</v>
          </cell>
          <cell r="L246">
            <v>190.47</v>
          </cell>
        </row>
        <row r="247">
          <cell r="A247" t="str">
            <v>KI ANGELIM</v>
          </cell>
          <cell r="B247" t="str">
            <v>04/2025</v>
          </cell>
          <cell r="H247" t="str">
            <v>REVENDA</v>
          </cell>
          <cell r="K247">
            <v>1633.4</v>
          </cell>
          <cell r="L247">
            <v>0</v>
          </cell>
        </row>
        <row r="248">
          <cell r="A248" t="str">
            <v>MULTI MADEIRAS</v>
          </cell>
          <cell r="B248" t="str">
            <v>04/2025</v>
          </cell>
          <cell r="H248" t="str">
            <v>REVENDA</v>
          </cell>
          <cell r="K248">
            <v>1612.8</v>
          </cell>
          <cell r="L248">
            <v>193.54</v>
          </cell>
        </row>
        <row r="249">
          <cell r="A249" t="str">
            <v>KI ANGELIM</v>
          </cell>
          <cell r="B249" t="str">
            <v>09/2025</v>
          </cell>
          <cell r="H249" t="str">
            <v>USO E CONSUMO</v>
          </cell>
          <cell r="K249">
            <v>809.99</v>
          </cell>
          <cell r="L249">
            <v>0</v>
          </cell>
        </row>
        <row r="250">
          <cell r="A250" t="str">
            <v>KI ANGELIM</v>
          </cell>
          <cell r="B250" t="str">
            <v>08/2025</v>
          </cell>
          <cell r="H250" t="str">
            <v>USO E CONSUMO</v>
          </cell>
          <cell r="K250">
            <v>802.25</v>
          </cell>
          <cell r="L250">
            <v>0</v>
          </cell>
        </row>
        <row r="251">
          <cell r="A251" t="str">
            <v>KI ANGELIM</v>
          </cell>
          <cell r="B251" t="str">
            <v>04/2025</v>
          </cell>
          <cell r="H251" t="str">
            <v>USO E CONSUMO</v>
          </cell>
          <cell r="K251">
            <v>792.3</v>
          </cell>
          <cell r="L251">
            <v>0</v>
          </cell>
        </row>
        <row r="252">
          <cell r="A252" t="str">
            <v>KI ANGELIM</v>
          </cell>
          <cell r="B252" t="str">
            <v>05/2025</v>
          </cell>
          <cell r="H252" t="str">
            <v>USO E CONSUMO</v>
          </cell>
          <cell r="K252">
            <v>788.66</v>
          </cell>
          <cell r="L252">
            <v>0</v>
          </cell>
        </row>
        <row r="253">
          <cell r="A253" t="str">
            <v>KI ANGELIM</v>
          </cell>
          <cell r="B253" t="str">
            <v>04/2025</v>
          </cell>
          <cell r="H253" t="str">
            <v>USO E CONSUMO</v>
          </cell>
          <cell r="K253">
            <v>779.4</v>
          </cell>
          <cell r="L253">
            <v>54.56</v>
          </cell>
        </row>
        <row r="254">
          <cell r="A254" t="str">
            <v>KI ANGELIM</v>
          </cell>
          <cell r="B254" t="str">
            <v>05/2025</v>
          </cell>
          <cell r="H254" t="str">
            <v>USO E CONSUMO</v>
          </cell>
          <cell r="K254">
            <v>763.95</v>
          </cell>
          <cell r="L254">
            <v>0</v>
          </cell>
        </row>
        <row r="255">
          <cell r="A255" t="str">
            <v>KI ANGELIM</v>
          </cell>
          <cell r="B255" t="str">
            <v>09/2025</v>
          </cell>
          <cell r="H255" t="str">
            <v>USO E CONSUMO</v>
          </cell>
          <cell r="K255">
            <v>759.9</v>
          </cell>
          <cell r="L255">
            <v>0</v>
          </cell>
        </row>
        <row r="256">
          <cell r="A256" t="str">
            <v>KI ANGELIM</v>
          </cell>
          <cell r="B256" t="str">
            <v>07/2025</v>
          </cell>
          <cell r="H256" t="str">
            <v>USO E CONSUMO</v>
          </cell>
          <cell r="K256">
            <v>753.01</v>
          </cell>
          <cell r="L256">
            <v>0</v>
          </cell>
        </row>
        <row r="257">
          <cell r="A257" t="str">
            <v>KI ANGELIM</v>
          </cell>
          <cell r="B257" t="str">
            <v>07/2025</v>
          </cell>
          <cell r="H257" t="str">
            <v>USO E CONSUMO</v>
          </cell>
          <cell r="K257">
            <v>747.98</v>
          </cell>
          <cell r="L257">
            <v>0</v>
          </cell>
        </row>
        <row r="258">
          <cell r="A258" t="str">
            <v>KI ANGELIM</v>
          </cell>
          <cell r="B258" t="str">
            <v>07/2025</v>
          </cell>
          <cell r="H258" t="str">
            <v>USO E CONSUMO</v>
          </cell>
          <cell r="K258">
            <v>741.73</v>
          </cell>
          <cell r="L258">
            <v>0</v>
          </cell>
        </row>
        <row r="259">
          <cell r="A259" t="str">
            <v>KI ANGELIM</v>
          </cell>
          <cell r="B259" t="str">
            <v>09/2025</v>
          </cell>
          <cell r="H259" t="str">
            <v>USO E CONSUMO</v>
          </cell>
          <cell r="K259">
            <v>736.47</v>
          </cell>
          <cell r="L259">
            <v>0</v>
          </cell>
        </row>
        <row r="260">
          <cell r="A260" t="str">
            <v>KI ANGELIM</v>
          </cell>
          <cell r="B260" t="str">
            <v>09/2025</v>
          </cell>
          <cell r="H260" t="str">
            <v>USO E CONSUMO</v>
          </cell>
          <cell r="K260">
            <v>733.83</v>
          </cell>
          <cell r="L260">
            <v>0</v>
          </cell>
        </row>
        <row r="261">
          <cell r="A261" t="str">
            <v>KI ANGELIM</v>
          </cell>
          <cell r="B261" t="str">
            <v>06/2025</v>
          </cell>
          <cell r="H261" t="str">
            <v>USO E CONSUMO</v>
          </cell>
          <cell r="K261">
            <v>733.81</v>
          </cell>
          <cell r="L261">
            <v>0</v>
          </cell>
        </row>
        <row r="262">
          <cell r="A262" t="str">
            <v>KI ANGELIM</v>
          </cell>
          <cell r="B262" t="str">
            <v>07/2025</v>
          </cell>
          <cell r="H262" t="str">
            <v>USO E CONSUMO</v>
          </cell>
          <cell r="K262">
            <v>729.87</v>
          </cell>
          <cell r="L262">
            <v>0</v>
          </cell>
        </row>
        <row r="263">
          <cell r="A263" t="str">
            <v>KI ANGELIM</v>
          </cell>
          <cell r="B263" t="str">
            <v>04/2025</v>
          </cell>
          <cell r="H263" t="str">
            <v>USO E CONSUMO</v>
          </cell>
          <cell r="K263">
            <v>728.66</v>
          </cell>
          <cell r="L263">
            <v>0</v>
          </cell>
        </row>
        <row r="264">
          <cell r="A264" t="str">
            <v>KI ANGELIM</v>
          </cell>
          <cell r="B264" t="str">
            <v>05/2025</v>
          </cell>
          <cell r="H264" t="str">
            <v>USO E CONSUMO</v>
          </cell>
          <cell r="K264">
            <v>724.4</v>
          </cell>
          <cell r="L264">
            <v>0</v>
          </cell>
        </row>
        <row r="265">
          <cell r="A265" t="str">
            <v>KI ANGELIM</v>
          </cell>
          <cell r="B265" t="str">
            <v>06/2025</v>
          </cell>
          <cell r="H265" t="str">
            <v>USO E CONSUMO</v>
          </cell>
          <cell r="K265">
            <v>719.93</v>
          </cell>
          <cell r="L265">
            <v>0</v>
          </cell>
        </row>
        <row r="266">
          <cell r="A266" t="str">
            <v>KI ANGELIM</v>
          </cell>
          <cell r="B266" t="str">
            <v>08/2025</v>
          </cell>
          <cell r="H266" t="str">
            <v>USO E CONSUMO</v>
          </cell>
          <cell r="K266">
            <v>715.94</v>
          </cell>
          <cell r="L266">
            <v>0</v>
          </cell>
        </row>
        <row r="267">
          <cell r="A267" t="str">
            <v>KI ANGELIM</v>
          </cell>
          <cell r="B267" t="str">
            <v>05/2025</v>
          </cell>
          <cell r="H267" t="str">
            <v>USO E CONSUMO</v>
          </cell>
          <cell r="K267">
            <v>714.3</v>
          </cell>
          <cell r="L267">
            <v>0</v>
          </cell>
        </row>
        <row r="268">
          <cell r="A268" t="str">
            <v>KI ANGELIM</v>
          </cell>
          <cell r="B268" t="str">
            <v>06/2025</v>
          </cell>
          <cell r="H268" t="str">
            <v>USO E CONSUMO</v>
          </cell>
          <cell r="K268">
            <v>711.25</v>
          </cell>
          <cell r="L268">
            <v>0</v>
          </cell>
        </row>
        <row r="269">
          <cell r="A269" t="str">
            <v>KI ANGELIM</v>
          </cell>
          <cell r="B269" t="str">
            <v>09/2025</v>
          </cell>
          <cell r="H269" t="str">
            <v>USO E CONSUMO</v>
          </cell>
          <cell r="K269">
            <v>696.19</v>
          </cell>
          <cell r="L269">
            <v>0</v>
          </cell>
        </row>
        <row r="270">
          <cell r="A270" t="str">
            <v>KI ANGELIM</v>
          </cell>
          <cell r="B270" t="str">
            <v>05/2025</v>
          </cell>
          <cell r="H270" t="str">
            <v>USO E CONSUMO</v>
          </cell>
          <cell r="K270">
            <v>692.97</v>
          </cell>
          <cell r="L270">
            <v>0</v>
          </cell>
        </row>
        <row r="271">
          <cell r="A271" t="str">
            <v>KI ANGELIM</v>
          </cell>
          <cell r="B271" t="str">
            <v>07/2025</v>
          </cell>
          <cell r="H271" t="str">
            <v>USO E CONSUMO</v>
          </cell>
          <cell r="K271">
            <v>689.42</v>
          </cell>
          <cell r="L271">
            <v>0</v>
          </cell>
        </row>
        <row r="272">
          <cell r="A272" t="str">
            <v>KI ANGELIM</v>
          </cell>
          <cell r="B272" t="str">
            <v>05/2025</v>
          </cell>
          <cell r="H272" t="str">
            <v>USO E CONSUMO</v>
          </cell>
          <cell r="K272">
            <v>683.18</v>
          </cell>
          <cell r="L272">
            <v>0</v>
          </cell>
        </row>
        <row r="273">
          <cell r="A273" t="str">
            <v>KI ANGELIM</v>
          </cell>
          <cell r="B273" t="str">
            <v>06/2025</v>
          </cell>
          <cell r="H273" t="str">
            <v>USO E CONSUMO</v>
          </cell>
          <cell r="K273">
            <v>671.37</v>
          </cell>
          <cell r="L273">
            <v>0</v>
          </cell>
        </row>
        <row r="274">
          <cell r="A274" t="str">
            <v>KI ANGELIM</v>
          </cell>
          <cell r="B274" t="str">
            <v>04/2025</v>
          </cell>
          <cell r="H274" t="str">
            <v>USO E CONSUMO</v>
          </cell>
          <cell r="K274">
            <v>668.85</v>
          </cell>
          <cell r="L274">
            <v>0</v>
          </cell>
        </row>
        <row r="275">
          <cell r="A275" t="str">
            <v>KI ANGELIM</v>
          </cell>
          <cell r="B275" t="str">
            <v>08/2025</v>
          </cell>
          <cell r="H275" t="str">
            <v>USO E CONSUMO</v>
          </cell>
          <cell r="K275">
            <v>666.89</v>
          </cell>
          <cell r="L275">
            <v>0</v>
          </cell>
        </row>
        <row r="276">
          <cell r="A276" t="str">
            <v>KI ANGELIM</v>
          </cell>
          <cell r="B276" t="str">
            <v>05/2025</v>
          </cell>
          <cell r="H276" t="str">
            <v>USO E CONSUMO</v>
          </cell>
          <cell r="K276">
            <v>664.89</v>
          </cell>
          <cell r="L276">
            <v>0</v>
          </cell>
        </row>
        <row r="277">
          <cell r="A277" t="str">
            <v>KI ANGELIM</v>
          </cell>
          <cell r="B277" t="str">
            <v>06/2025</v>
          </cell>
          <cell r="H277" t="str">
            <v>USO E CONSUMO</v>
          </cell>
          <cell r="K277">
            <v>663.11</v>
          </cell>
          <cell r="L277">
            <v>0</v>
          </cell>
        </row>
        <row r="278">
          <cell r="A278" t="str">
            <v>KI ANGELIM</v>
          </cell>
          <cell r="B278" t="str">
            <v>08/2025</v>
          </cell>
          <cell r="H278" t="str">
            <v>USO E CONSUMO</v>
          </cell>
          <cell r="K278">
            <v>661.73</v>
          </cell>
          <cell r="L278">
            <v>0</v>
          </cell>
        </row>
        <row r="279">
          <cell r="A279" t="str">
            <v>KI ANGELIM</v>
          </cell>
          <cell r="B279" t="str">
            <v>07/2025</v>
          </cell>
          <cell r="H279" t="str">
            <v>USO E CONSUMO</v>
          </cell>
          <cell r="K279">
            <v>647.66999999999996</v>
          </cell>
          <cell r="L279">
            <v>0</v>
          </cell>
        </row>
        <row r="280">
          <cell r="A280" t="str">
            <v>KI ANGELIM</v>
          </cell>
          <cell r="B280" t="str">
            <v>04/2025</v>
          </cell>
          <cell r="H280" t="str">
            <v>USO E CONSUMO</v>
          </cell>
          <cell r="K280">
            <v>641.51</v>
          </cell>
          <cell r="L280">
            <v>0</v>
          </cell>
        </row>
        <row r="281">
          <cell r="A281" t="str">
            <v>KI ANGELIM</v>
          </cell>
          <cell r="B281" t="str">
            <v>07/2025</v>
          </cell>
          <cell r="H281" t="str">
            <v>USO E CONSUMO</v>
          </cell>
          <cell r="K281">
            <v>641.33000000000004</v>
          </cell>
          <cell r="L281">
            <v>0</v>
          </cell>
        </row>
        <row r="282">
          <cell r="A282" t="str">
            <v>KI ANGELIM</v>
          </cell>
          <cell r="B282" t="str">
            <v>08/2025</v>
          </cell>
          <cell r="H282" t="str">
            <v>USO E CONSUMO</v>
          </cell>
          <cell r="K282">
            <v>639.07000000000005</v>
          </cell>
          <cell r="L282">
            <v>0</v>
          </cell>
        </row>
        <row r="283">
          <cell r="A283" t="str">
            <v>KI ANGELIM</v>
          </cell>
          <cell r="B283" t="str">
            <v>08/2025</v>
          </cell>
          <cell r="H283" t="str">
            <v>USO E CONSUMO</v>
          </cell>
          <cell r="K283">
            <v>605.25</v>
          </cell>
          <cell r="L283">
            <v>0</v>
          </cell>
        </row>
        <row r="284">
          <cell r="A284" t="str">
            <v>KI ANGELIM</v>
          </cell>
          <cell r="B284" t="str">
            <v>08/2025</v>
          </cell>
          <cell r="H284" t="str">
            <v>USO E CONSUMO</v>
          </cell>
          <cell r="K284">
            <v>592.16</v>
          </cell>
          <cell r="L284">
            <v>0</v>
          </cell>
        </row>
        <row r="285">
          <cell r="A285" t="str">
            <v>KI ANGELIM</v>
          </cell>
          <cell r="B285" t="str">
            <v>06/2025</v>
          </cell>
          <cell r="H285" t="str">
            <v>USO E CONSUMO</v>
          </cell>
          <cell r="K285">
            <v>579.45000000000005</v>
          </cell>
          <cell r="L285">
            <v>0</v>
          </cell>
        </row>
        <row r="286">
          <cell r="A286" t="str">
            <v>KI ANGELIM</v>
          </cell>
          <cell r="B286" t="str">
            <v>08/2025</v>
          </cell>
          <cell r="H286" t="str">
            <v>USO E CONSUMO</v>
          </cell>
          <cell r="K286">
            <v>469.88</v>
          </cell>
          <cell r="L286">
            <v>0</v>
          </cell>
        </row>
        <row r="287">
          <cell r="A287" t="str">
            <v>KI ANGELIM</v>
          </cell>
          <cell r="B287" t="str">
            <v>07/2025</v>
          </cell>
          <cell r="H287" t="str">
            <v>USO E CONSUMO</v>
          </cell>
          <cell r="K287">
            <v>452.29</v>
          </cell>
          <cell r="L287">
            <v>0</v>
          </cell>
        </row>
        <row r="288">
          <cell r="A288" t="str">
            <v>KI ANGELIM</v>
          </cell>
          <cell r="B288" t="str">
            <v>05/2025</v>
          </cell>
          <cell r="H288" t="str">
            <v>USO E CONSUMO</v>
          </cell>
          <cell r="K288">
            <v>357.08</v>
          </cell>
          <cell r="L288">
            <v>0</v>
          </cell>
        </row>
        <row r="289">
          <cell r="A289" t="str">
            <v>KI ANGELIM</v>
          </cell>
          <cell r="B289" t="str">
            <v>04/2025</v>
          </cell>
          <cell r="H289" t="str">
            <v>USO E CONSUMO</v>
          </cell>
          <cell r="K289">
            <v>330</v>
          </cell>
          <cell r="L289">
            <v>0</v>
          </cell>
        </row>
        <row r="290">
          <cell r="A290" t="str">
            <v>KI ANGELIM</v>
          </cell>
          <cell r="B290" t="str">
            <v>09/2025</v>
          </cell>
          <cell r="H290" t="str">
            <v>USO E CONSUMO</v>
          </cell>
          <cell r="K290">
            <v>326.04000000000002</v>
          </cell>
          <cell r="L290">
            <v>0</v>
          </cell>
        </row>
        <row r="291">
          <cell r="A291" t="str">
            <v>KI ANGELIM</v>
          </cell>
          <cell r="B291" t="str">
            <v>08/2025</v>
          </cell>
          <cell r="H291" t="str">
            <v>USO E CONSUMO</v>
          </cell>
          <cell r="K291">
            <v>324.12</v>
          </cell>
          <cell r="L291">
            <v>0</v>
          </cell>
        </row>
        <row r="292">
          <cell r="A292" t="str">
            <v>KI ANGELIM</v>
          </cell>
          <cell r="B292" t="str">
            <v>04/2025</v>
          </cell>
          <cell r="H292" t="str">
            <v>USO E CONSUMO</v>
          </cell>
          <cell r="K292">
            <v>315.29000000000002</v>
          </cell>
          <cell r="L292">
            <v>0</v>
          </cell>
        </row>
        <row r="293">
          <cell r="A293" t="str">
            <v>KI ANGELIM</v>
          </cell>
          <cell r="B293" t="str">
            <v>09/2025</v>
          </cell>
          <cell r="H293" t="str">
            <v>USO E CONSUMO</v>
          </cell>
          <cell r="K293">
            <v>307.02999999999997</v>
          </cell>
          <cell r="L293">
            <v>0</v>
          </cell>
        </row>
        <row r="294">
          <cell r="A294" t="str">
            <v>KI ANGELIM</v>
          </cell>
          <cell r="B294" t="str">
            <v>06/2025</v>
          </cell>
          <cell r="H294" t="str">
            <v>USO E CONSUMO</v>
          </cell>
          <cell r="K294">
            <v>304.5</v>
          </cell>
          <cell r="L294">
            <v>0</v>
          </cell>
        </row>
        <row r="295">
          <cell r="A295" t="str">
            <v>KI ANGELIM</v>
          </cell>
          <cell r="B295" t="str">
            <v>07/2025</v>
          </cell>
          <cell r="H295" t="str">
            <v>USO E CONSUMO</v>
          </cell>
          <cell r="K295">
            <v>300</v>
          </cell>
          <cell r="L295">
            <v>0</v>
          </cell>
        </row>
        <row r="296">
          <cell r="A296" t="str">
            <v>KI ANGELIM</v>
          </cell>
          <cell r="B296" t="str">
            <v>07/2025</v>
          </cell>
          <cell r="H296" t="str">
            <v>USO E CONSUMO</v>
          </cell>
          <cell r="K296">
            <v>299.02</v>
          </cell>
          <cell r="L296">
            <v>20.93</v>
          </cell>
        </row>
        <row r="297">
          <cell r="A297" t="str">
            <v>KI ANGELIM</v>
          </cell>
          <cell r="B297" t="str">
            <v>08/2025</v>
          </cell>
          <cell r="H297" t="str">
            <v>USO E CONSUMO</v>
          </cell>
          <cell r="K297">
            <v>297.06</v>
          </cell>
          <cell r="L297">
            <v>0</v>
          </cell>
        </row>
        <row r="298">
          <cell r="A298" t="str">
            <v>KI ANGELIM</v>
          </cell>
          <cell r="B298" t="str">
            <v>05/2025</v>
          </cell>
          <cell r="H298" t="str">
            <v>USO E CONSUMO</v>
          </cell>
          <cell r="K298">
            <v>295.39999999999998</v>
          </cell>
          <cell r="L298">
            <v>0</v>
          </cell>
        </row>
        <row r="299">
          <cell r="A299" t="str">
            <v>KI ANGELIM</v>
          </cell>
          <cell r="B299" t="str">
            <v>07/2025</v>
          </cell>
          <cell r="H299" t="str">
            <v>USO E CONSUMO</v>
          </cell>
          <cell r="K299">
            <v>294.5</v>
          </cell>
          <cell r="L299">
            <v>0</v>
          </cell>
        </row>
        <row r="300">
          <cell r="A300" t="str">
            <v>KI ANGELIM</v>
          </cell>
          <cell r="B300" t="str">
            <v>09/2025</v>
          </cell>
          <cell r="H300" t="str">
            <v>USO E CONSUMO</v>
          </cell>
          <cell r="K300">
            <v>290.08</v>
          </cell>
          <cell r="L300">
            <v>0</v>
          </cell>
        </row>
        <row r="301">
          <cell r="A301" t="str">
            <v>KI ANGELIM</v>
          </cell>
          <cell r="B301" t="str">
            <v>08/2025</v>
          </cell>
          <cell r="H301" t="str">
            <v>USO E CONSUMO</v>
          </cell>
          <cell r="K301">
            <v>285.02999999999997</v>
          </cell>
          <cell r="L301">
            <v>0</v>
          </cell>
        </row>
        <row r="302">
          <cell r="A302" t="str">
            <v>KI ANGELIM</v>
          </cell>
          <cell r="B302" t="str">
            <v>05/2025</v>
          </cell>
          <cell r="H302" t="str">
            <v>USO E CONSUMO</v>
          </cell>
          <cell r="K302">
            <v>272.77</v>
          </cell>
          <cell r="L302">
            <v>0</v>
          </cell>
        </row>
        <row r="303">
          <cell r="A303" t="str">
            <v>KI ANGELIM</v>
          </cell>
          <cell r="B303" t="str">
            <v>05/2025</v>
          </cell>
          <cell r="H303" t="str">
            <v>USO E CONSUMO</v>
          </cell>
          <cell r="K303">
            <v>272.02</v>
          </cell>
          <cell r="L303">
            <v>0</v>
          </cell>
        </row>
        <row r="304">
          <cell r="A304" t="str">
            <v>KI ANGELIM</v>
          </cell>
          <cell r="B304" t="str">
            <v>07/2025</v>
          </cell>
          <cell r="H304" t="str">
            <v>USO E CONSUMO</v>
          </cell>
          <cell r="K304">
            <v>264</v>
          </cell>
          <cell r="L304">
            <v>0</v>
          </cell>
        </row>
        <row r="305">
          <cell r="A305" t="str">
            <v>KI ANGELIM</v>
          </cell>
          <cell r="B305" t="str">
            <v>06/2025</v>
          </cell>
          <cell r="H305" t="str">
            <v>USO E CONSUMO</v>
          </cell>
          <cell r="K305">
            <v>260.07</v>
          </cell>
          <cell r="L305">
            <v>0</v>
          </cell>
        </row>
        <row r="306">
          <cell r="A306" t="str">
            <v>KI ANGELIM</v>
          </cell>
          <cell r="B306" t="str">
            <v>09/2025</v>
          </cell>
          <cell r="H306" t="str">
            <v>USO E CONSUMO</v>
          </cell>
          <cell r="K306">
            <v>227.96</v>
          </cell>
          <cell r="L306">
            <v>0</v>
          </cell>
        </row>
        <row r="307">
          <cell r="A307" t="str">
            <v>KI ANGELIM</v>
          </cell>
          <cell r="B307" t="str">
            <v>09/2025</v>
          </cell>
          <cell r="H307" t="str">
            <v>USO E CONSUMO</v>
          </cell>
          <cell r="K307">
            <v>220.01</v>
          </cell>
          <cell r="L307">
            <v>0</v>
          </cell>
        </row>
        <row r="308">
          <cell r="A308" t="str">
            <v>KI ANGELIM</v>
          </cell>
          <cell r="B308" t="str">
            <v>04/2025</v>
          </cell>
          <cell r="H308" t="str">
            <v>USO E CONSUMO</v>
          </cell>
          <cell r="K308">
            <v>208</v>
          </cell>
          <cell r="L308">
            <v>0</v>
          </cell>
        </row>
        <row r="309">
          <cell r="A309" t="str">
            <v>KI ANGELIM</v>
          </cell>
          <cell r="B309" t="str">
            <v>04/2025</v>
          </cell>
          <cell r="H309" t="str">
            <v>USO E CONSUMO</v>
          </cell>
          <cell r="K309">
            <v>196.15</v>
          </cell>
          <cell r="L309">
            <v>0</v>
          </cell>
        </row>
        <row r="310">
          <cell r="A310" t="str">
            <v>KI ANGELIM</v>
          </cell>
          <cell r="B310" t="str">
            <v>07/2025</v>
          </cell>
          <cell r="H310" t="str">
            <v>USO E CONSUMO</v>
          </cell>
          <cell r="K310">
            <v>185.54</v>
          </cell>
          <cell r="L310">
            <v>0</v>
          </cell>
        </row>
        <row r="311">
          <cell r="A311" t="str">
            <v>KI ANGELIM</v>
          </cell>
          <cell r="B311" t="str">
            <v>08/2025</v>
          </cell>
          <cell r="H311" t="str">
            <v>USO E CONSUMO</v>
          </cell>
          <cell r="K311">
            <v>173.57</v>
          </cell>
          <cell r="L311">
            <v>0</v>
          </cell>
        </row>
        <row r="312">
          <cell r="A312" t="str">
            <v>KI ANGELIM</v>
          </cell>
          <cell r="B312" t="str">
            <v>06/2025</v>
          </cell>
          <cell r="H312" t="str">
            <v>USO E CONSUMO</v>
          </cell>
          <cell r="K312">
            <v>172.61</v>
          </cell>
          <cell r="L312">
            <v>0</v>
          </cell>
        </row>
        <row r="313">
          <cell r="A313" t="str">
            <v>KI ANGELIM</v>
          </cell>
          <cell r="B313" t="str">
            <v>07/2025</v>
          </cell>
          <cell r="H313" t="str">
            <v>USO E CONSUMO</v>
          </cell>
          <cell r="K313">
            <v>167.89</v>
          </cell>
          <cell r="L313">
            <v>0</v>
          </cell>
        </row>
        <row r="314">
          <cell r="A314" t="str">
            <v>KI ANGELIM</v>
          </cell>
          <cell r="B314" t="str">
            <v>09/2025</v>
          </cell>
          <cell r="H314" t="str">
            <v>USO E CONSUMO</v>
          </cell>
          <cell r="K314">
            <v>160.12</v>
          </cell>
          <cell r="L314">
            <v>0</v>
          </cell>
        </row>
        <row r="315">
          <cell r="A315" t="str">
            <v>KI ANGELIM</v>
          </cell>
          <cell r="B315" t="str">
            <v>08/2025</v>
          </cell>
          <cell r="H315" t="str">
            <v>USO E CONSUMO</v>
          </cell>
          <cell r="K315">
            <v>156.31</v>
          </cell>
          <cell r="L315">
            <v>0</v>
          </cell>
        </row>
        <row r="316">
          <cell r="A316" t="str">
            <v>KI ANGELIM</v>
          </cell>
          <cell r="B316" t="str">
            <v>07/2025</v>
          </cell>
          <cell r="H316" t="str">
            <v>USO E CONSUMO</v>
          </cell>
          <cell r="K316">
            <v>151.91999999999999</v>
          </cell>
          <cell r="L316">
            <v>10.63</v>
          </cell>
        </row>
        <row r="317">
          <cell r="A317" t="str">
            <v>KI ANGELIM</v>
          </cell>
          <cell r="B317" t="str">
            <v>04/2025</v>
          </cell>
          <cell r="H317" t="str">
            <v>USO E CONSUMO</v>
          </cell>
          <cell r="K317">
            <v>133.1</v>
          </cell>
          <cell r="L317">
            <v>0</v>
          </cell>
        </row>
        <row r="318">
          <cell r="A318" t="str">
            <v>KI ANGELIM</v>
          </cell>
          <cell r="B318" t="str">
            <v>04/2025</v>
          </cell>
          <cell r="H318" t="str">
            <v>USO E CONSUMO</v>
          </cell>
          <cell r="K318">
            <v>132.66999999999999</v>
          </cell>
          <cell r="L318">
            <v>0</v>
          </cell>
        </row>
        <row r="319">
          <cell r="A319" t="str">
            <v>KI ANGELIM</v>
          </cell>
          <cell r="B319" t="str">
            <v>09/2025</v>
          </cell>
          <cell r="H319" t="str">
            <v>USO E CONSUMO</v>
          </cell>
          <cell r="K319">
            <v>128.5</v>
          </cell>
          <cell r="L319">
            <v>0</v>
          </cell>
        </row>
        <row r="320">
          <cell r="A320" t="str">
            <v>KI ANGELIM</v>
          </cell>
          <cell r="B320" t="str">
            <v>06/2025</v>
          </cell>
          <cell r="H320" t="str">
            <v>USO E CONSUMO</v>
          </cell>
          <cell r="K320">
            <v>127.62</v>
          </cell>
          <cell r="L320">
            <v>0</v>
          </cell>
        </row>
        <row r="321">
          <cell r="A321" t="str">
            <v>KI ANGELIM</v>
          </cell>
          <cell r="B321" t="str">
            <v>05/2025</v>
          </cell>
          <cell r="H321" t="str">
            <v>USO E CONSUMO</v>
          </cell>
          <cell r="K321">
            <v>125.8</v>
          </cell>
          <cell r="L321">
            <v>0</v>
          </cell>
        </row>
        <row r="322">
          <cell r="A322" t="str">
            <v>KI ANGELIM</v>
          </cell>
          <cell r="B322" t="str">
            <v>07/2025</v>
          </cell>
          <cell r="H322" t="str">
            <v>USO E CONSUMO</v>
          </cell>
          <cell r="K322">
            <v>119.96</v>
          </cell>
          <cell r="L322">
            <v>23.99</v>
          </cell>
        </row>
        <row r="323">
          <cell r="A323" t="str">
            <v>KI ANGELIM</v>
          </cell>
          <cell r="B323" t="str">
            <v>04/2025</v>
          </cell>
          <cell r="H323" t="str">
            <v>USO E CONSUMO</v>
          </cell>
          <cell r="K323">
            <v>119.96</v>
          </cell>
          <cell r="L323">
            <v>23.99</v>
          </cell>
        </row>
        <row r="324">
          <cell r="A324" t="str">
            <v>KI ANGELIM</v>
          </cell>
          <cell r="B324" t="str">
            <v>08/2025</v>
          </cell>
          <cell r="H324" t="str">
            <v>USO E CONSUMO</v>
          </cell>
          <cell r="K324">
            <v>119.87</v>
          </cell>
          <cell r="L324">
            <v>0</v>
          </cell>
        </row>
        <row r="325">
          <cell r="A325" t="str">
            <v>KI ANGELIM</v>
          </cell>
          <cell r="B325" t="str">
            <v>04/2025</v>
          </cell>
          <cell r="H325" t="str">
            <v>USO E CONSUMO</v>
          </cell>
          <cell r="K325">
            <v>119.76</v>
          </cell>
          <cell r="L325">
            <v>0</v>
          </cell>
        </row>
        <row r="326">
          <cell r="A326" t="str">
            <v>KI ANGELIM</v>
          </cell>
          <cell r="B326" t="str">
            <v>04/2025</v>
          </cell>
          <cell r="H326" t="str">
            <v>USO E CONSUMO</v>
          </cell>
          <cell r="K326">
            <v>114.96</v>
          </cell>
          <cell r="L326">
            <v>0</v>
          </cell>
        </row>
        <row r="327">
          <cell r="A327" t="str">
            <v>KI ANGELIM</v>
          </cell>
          <cell r="B327" t="str">
            <v>04/2025</v>
          </cell>
          <cell r="H327" t="str">
            <v>USO E CONSUMO</v>
          </cell>
          <cell r="K327">
            <v>110.35</v>
          </cell>
          <cell r="L327">
            <v>7.72</v>
          </cell>
        </row>
        <row r="328">
          <cell r="A328" t="str">
            <v>KI ANGELIM</v>
          </cell>
          <cell r="B328" t="str">
            <v>07/2025</v>
          </cell>
          <cell r="H328" t="str">
            <v>USO E CONSUMO</v>
          </cell>
          <cell r="K328">
            <v>86.28</v>
          </cell>
          <cell r="L328">
            <v>0</v>
          </cell>
        </row>
        <row r="329">
          <cell r="A329" t="str">
            <v>KI ANGELIM</v>
          </cell>
          <cell r="B329" t="str">
            <v>07/2025</v>
          </cell>
          <cell r="H329" t="str">
            <v>USO E CONSUMO</v>
          </cell>
          <cell r="K329">
            <v>74.36</v>
          </cell>
          <cell r="L329">
            <v>5.2</v>
          </cell>
        </row>
        <row r="330">
          <cell r="A330" t="str">
            <v>KI ANGELIM</v>
          </cell>
          <cell r="B330" t="str">
            <v>05/2025</v>
          </cell>
          <cell r="H330" t="str">
            <v>USO E CONSUMO</v>
          </cell>
          <cell r="K330">
            <v>73.2</v>
          </cell>
          <cell r="L330">
            <v>5.12</v>
          </cell>
        </row>
        <row r="331">
          <cell r="A331" t="str">
            <v>KI ANGELIM</v>
          </cell>
          <cell r="B331" t="str">
            <v>05/2025</v>
          </cell>
          <cell r="H331" t="str">
            <v>USO E CONSUMO</v>
          </cell>
          <cell r="K331">
            <v>69.900000000000006</v>
          </cell>
          <cell r="L331">
            <v>13.98</v>
          </cell>
        </row>
        <row r="332">
          <cell r="A332" t="str">
            <v>KI ANGELIM</v>
          </cell>
          <cell r="B332" t="str">
            <v>09/2025</v>
          </cell>
          <cell r="H332" t="str">
            <v>USO E CONSUMO</v>
          </cell>
          <cell r="K332">
            <v>68.28</v>
          </cell>
          <cell r="L332">
            <v>13.66</v>
          </cell>
        </row>
        <row r="333">
          <cell r="A333" t="str">
            <v>KI ANGELIM</v>
          </cell>
          <cell r="B333" t="str">
            <v>07/2025</v>
          </cell>
          <cell r="H333" t="str">
            <v>USO E CONSUMO</v>
          </cell>
          <cell r="K333">
            <v>63.9</v>
          </cell>
          <cell r="L333">
            <v>0</v>
          </cell>
        </row>
        <row r="334">
          <cell r="A334" t="str">
            <v>KI ANGELIM</v>
          </cell>
          <cell r="B334" t="str">
            <v>07/2025</v>
          </cell>
          <cell r="H334" t="str">
            <v>USO E CONSUMO</v>
          </cell>
          <cell r="K334">
            <v>63.52</v>
          </cell>
          <cell r="L334">
            <v>4.45</v>
          </cell>
        </row>
        <row r="335">
          <cell r="A335" t="str">
            <v>KI ANGELIM</v>
          </cell>
          <cell r="B335" t="str">
            <v>04/2025</v>
          </cell>
          <cell r="H335" t="str">
            <v>USO E CONSUMO</v>
          </cell>
          <cell r="K335">
            <v>59.98</v>
          </cell>
          <cell r="L335">
            <v>12</v>
          </cell>
        </row>
        <row r="336">
          <cell r="A336" t="str">
            <v>KI ANGELIM</v>
          </cell>
          <cell r="B336" t="str">
            <v>09/2025</v>
          </cell>
          <cell r="H336" t="str">
            <v>USO E CONSUMO</v>
          </cell>
          <cell r="K336">
            <v>59.7</v>
          </cell>
          <cell r="L336">
            <v>0</v>
          </cell>
        </row>
        <row r="337">
          <cell r="A337" t="str">
            <v>KI ANGELIM</v>
          </cell>
          <cell r="B337" t="str">
            <v>04/2025</v>
          </cell>
          <cell r="H337" t="str">
            <v>USO E CONSUMO</v>
          </cell>
          <cell r="K337">
            <v>58.68</v>
          </cell>
          <cell r="L337">
            <v>0</v>
          </cell>
        </row>
        <row r="338">
          <cell r="A338" t="str">
            <v>KI ANGELIM</v>
          </cell>
          <cell r="B338" t="str">
            <v>04/2025</v>
          </cell>
          <cell r="H338" t="str">
            <v>USO E CONSUMO</v>
          </cell>
          <cell r="K338">
            <v>57.48</v>
          </cell>
          <cell r="L338">
            <v>14.72</v>
          </cell>
        </row>
        <row r="339">
          <cell r="A339" t="str">
            <v>KI ANGELIM</v>
          </cell>
          <cell r="B339" t="str">
            <v>07/2025</v>
          </cell>
          <cell r="H339" t="str">
            <v>USO E CONSUMO</v>
          </cell>
          <cell r="K339">
            <v>56.7</v>
          </cell>
          <cell r="L339">
            <v>3.97</v>
          </cell>
        </row>
        <row r="340">
          <cell r="A340" t="str">
            <v>KI ANGELIM</v>
          </cell>
          <cell r="B340" t="str">
            <v>07/2025</v>
          </cell>
          <cell r="H340" t="str">
            <v>USO E CONSUMO</v>
          </cell>
          <cell r="K340">
            <v>56.7</v>
          </cell>
          <cell r="L340">
            <v>3.97</v>
          </cell>
        </row>
        <row r="341">
          <cell r="A341" t="str">
            <v>KI ANGELIM</v>
          </cell>
          <cell r="B341" t="str">
            <v>05/2025</v>
          </cell>
          <cell r="H341" t="str">
            <v>USO E CONSUMO</v>
          </cell>
          <cell r="K341">
            <v>56.7</v>
          </cell>
          <cell r="L341">
            <v>3.97</v>
          </cell>
        </row>
        <row r="342">
          <cell r="A342" t="str">
            <v>KI ANGELIM</v>
          </cell>
          <cell r="B342" t="str">
            <v>07/2025</v>
          </cell>
          <cell r="H342" t="str">
            <v>USO E CONSUMO</v>
          </cell>
          <cell r="K342">
            <v>56.28</v>
          </cell>
          <cell r="L342">
            <v>11.26</v>
          </cell>
        </row>
        <row r="343">
          <cell r="A343" t="str">
            <v>KI ANGELIM</v>
          </cell>
          <cell r="B343" t="str">
            <v>07/2025</v>
          </cell>
          <cell r="H343" t="str">
            <v>USO E CONSUMO</v>
          </cell>
          <cell r="K343">
            <v>55.96</v>
          </cell>
          <cell r="L343">
            <v>11.19</v>
          </cell>
        </row>
        <row r="344">
          <cell r="A344" t="str">
            <v>KI ANGELIM</v>
          </cell>
          <cell r="B344" t="str">
            <v>04/2025</v>
          </cell>
          <cell r="H344" t="str">
            <v>USO E CONSUMO</v>
          </cell>
          <cell r="K344">
            <v>55.74</v>
          </cell>
          <cell r="L344">
            <v>0</v>
          </cell>
        </row>
        <row r="345">
          <cell r="A345" t="str">
            <v>KI ANGELIM</v>
          </cell>
          <cell r="B345" t="str">
            <v>04/2025</v>
          </cell>
          <cell r="H345" t="str">
            <v>USO E CONSUMO</v>
          </cell>
          <cell r="K345">
            <v>55.14</v>
          </cell>
          <cell r="L345">
            <v>0</v>
          </cell>
        </row>
        <row r="346">
          <cell r="A346" t="str">
            <v>KI ANGELIM</v>
          </cell>
          <cell r="B346" t="str">
            <v>07/2025</v>
          </cell>
          <cell r="H346" t="str">
            <v>USO E CONSUMO</v>
          </cell>
          <cell r="K346">
            <v>54.9</v>
          </cell>
          <cell r="L346">
            <v>3.84</v>
          </cell>
        </row>
        <row r="347">
          <cell r="A347" t="str">
            <v>KI ANGELIM</v>
          </cell>
          <cell r="B347" t="str">
            <v>07/2025</v>
          </cell>
          <cell r="H347" t="str">
            <v>USO E CONSUMO</v>
          </cell>
          <cell r="K347">
            <v>53.98</v>
          </cell>
          <cell r="L347">
            <v>0</v>
          </cell>
        </row>
        <row r="348">
          <cell r="A348" t="str">
            <v>KI ANGELIM</v>
          </cell>
          <cell r="B348" t="str">
            <v>04/2025</v>
          </cell>
          <cell r="H348" t="str">
            <v>USO E CONSUMO</v>
          </cell>
          <cell r="K348">
            <v>52</v>
          </cell>
          <cell r="L348">
            <v>3.64</v>
          </cell>
        </row>
        <row r="349">
          <cell r="A349" t="str">
            <v>KI ANGELIM</v>
          </cell>
          <cell r="B349" t="str">
            <v>04/2025</v>
          </cell>
          <cell r="H349" t="str">
            <v>USO E CONSUMO</v>
          </cell>
          <cell r="K349">
            <v>49.81</v>
          </cell>
          <cell r="L349">
            <v>9.9600000000000009</v>
          </cell>
        </row>
        <row r="350">
          <cell r="A350" t="str">
            <v>KI ANGELIM</v>
          </cell>
          <cell r="B350" t="str">
            <v>07/2025</v>
          </cell>
          <cell r="H350" t="str">
            <v>USO E CONSUMO</v>
          </cell>
          <cell r="K350">
            <v>44.95</v>
          </cell>
          <cell r="L350">
            <v>8.99</v>
          </cell>
        </row>
        <row r="351">
          <cell r="A351" t="str">
            <v>KI ANGELIM</v>
          </cell>
          <cell r="B351" t="str">
            <v>04/2025</v>
          </cell>
          <cell r="H351" t="str">
            <v>USO E CONSUMO</v>
          </cell>
          <cell r="K351">
            <v>43.8</v>
          </cell>
          <cell r="L351">
            <v>3.07</v>
          </cell>
        </row>
        <row r="352">
          <cell r="A352" t="str">
            <v>KI ANGELIM</v>
          </cell>
          <cell r="B352" t="str">
            <v>09/2025</v>
          </cell>
          <cell r="H352" t="str">
            <v>USO E CONSUMO</v>
          </cell>
          <cell r="K352">
            <v>39.799999999999997</v>
          </cell>
          <cell r="L352">
            <v>2.79</v>
          </cell>
        </row>
        <row r="353">
          <cell r="A353" t="str">
            <v>KI ANGELIM</v>
          </cell>
          <cell r="B353" t="str">
            <v>07/2025</v>
          </cell>
          <cell r="H353" t="str">
            <v>USO E CONSUMO</v>
          </cell>
          <cell r="K353">
            <v>39.799999999999997</v>
          </cell>
          <cell r="L353">
            <v>0</v>
          </cell>
        </row>
        <row r="354">
          <cell r="A354" t="str">
            <v>KI ANGELIM</v>
          </cell>
          <cell r="B354" t="str">
            <v>07/2025</v>
          </cell>
          <cell r="H354" t="str">
            <v>USO E CONSUMO</v>
          </cell>
          <cell r="K354">
            <v>39.799999999999997</v>
          </cell>
          <cell r="L354">
            <v>0</v>
          </cell>
        </row>
        <row r="355">
          <cell r="A355" t="str">
            <v>KI ANGELIM</v>
          </cell>
          <cell r="B355" t="str">
            <v>07/2025</v>
          </cell>
          <cell r="H355" t="str">
            <v>USO E CONSUMO</v>
          </cell>
          <cell r="K355">
            <v>39.799999999999997</v>
          </cell>
          <cell r="L355">
            <v>2.79</v>
          </cell>
        </row>
        <row r="356">
          <cell r="A356" t="str">
            <v>KI ANGELIM</v>
          </cell>
          <cell r="B356" t="str">
            <v>07/2025</v>
          </cell>
          <cell r="H356" t="str">
            <v>USO E CONSUMO</v>
          </cell>
          <cell r="K356">
            <v>39.31</v>
          </cell>
          <cell r="L356">
            <v>2.75</v>
          </cell>
        </row>
        <row r="357">
          <cell r="A357" t="str">
            <v>KI ANGELIM</v>
          </cell>
          <cell r="B357" t="str">
            <v>04/2025</v>
          </cell>
          <cell r="H357" t="str">
            <v>USO E CONSUMO</v>
          </cell>
          <cell r="K357">
            <v>38.99</v>
          </cell>
          <cell r="L357">
            <v>2.73</v>
          </cell>
        </row>
        <row r="358">
          <cell r="A358" t="str">
            <v>KI ANGELIM</v>
          </cell>
          <cell r="B358" t="str">
            <v>05/2025</v>
          </cell>
          <cell r="H358" t="str">
            <v>USO E CONSUMO</v>
          </cell>
          <cell r="K358">
            <v>38.9</v>
          </cell>
          <cell r="L358">
            <v>0</v>
          </cell>
        </row>
        <row r="359">
          <cell r="A359" t="str">
            <v>KI ANGELIM</v>
          </cell>
          <cell r="B359" t="str">
            <v>09/2025</v>
          </cell>
          <cell r="H359" t="str">
            <v>USO E CONSUMO</v>
          </cell>
          <cell r="K359">
            <v>38.28</v>
          </cell>
          <cell r="L359">
            <v>0</v>
          </cell>
        </row>
        <row r="360">
          <cell r="A360" t="str">
            <v>KI ANGELIM</v>
          </cell>
          <cell r="B360" t="str">
            <v>07/2025</v>
          </cell>
          <cell r="H360" t="str">
            <v>USO E CONSUMO</v>
          </cell>
          <cell r="K360">
            <v>37</v>
          </cell>
          <cell r="L360">
            <v>0</v>
          </cell>
        </row>
        <row r="361">
          <cell r="A361" t="str">
            <v>KI ANGELIM</v>
          </cell>
          <cell r="B361" t="str">
            <v>07/2025</v>
          </cell>
          <cell r="H361" t="str">
            <v>USO E CONSUMO</v>
          </cell>
          <cell r="K361">
            <v>36.9</v>
          </cell>
          <cell r="L361">
            <v>7.38</v>
          </cell>
        </row>
        <row r="362">
          <cell r="A362" t="str">
            <v>KI ANGELIM</v>
          </cell>
          <cell r="B362" t="str">
            <v>09/2025</v>
          </cell>
          <cell r="H362" t="str">
            <v>USO E CONSUMO</v>
          </cell>
          <cell r="K362">
            <v>35.979999999999997</v>
          </cell>
          <cell r="L362">
            <v>2.52</v>
          </cell>
        </row>
        <row r="363">
          <cell r="A363" t="str">
            <v>KI ANGELIM</v>
          </cell>
          <cell r="B363" t="str">
            <v>04/2025</v>
          </cell>
          <cell r="H363" t="str">
            <v>USO E CONSUMO</v>
          </cell>
          <cell r="K363">
            <v>35.9</v>
          </cell>
          <cell r="L363">
            <v>0</v>
          </cell>
        </row>
        <row r="364">
          <cell r="A364" t="str">
            <v>KI ANGELIM</v>
          </cell>
          <cell r="B364" t="str">
            <v>07/2025</v>
          </cell>
          <cell r="H364" t="str">
            <v>USO E CONSUMO</v>
          </cell>
          <cell r="K364">
            <v>35.700000000000003</v>
          </cell>
          <cell r="L364">
            <v>7.14</v>
          </cell>
        </row>
        <row r="365">
          <cell r="A365" t="str">
            <v>KI ANGELIM</v>
          </cell>
          <cell r="B365" t="str">
            <v>06/2025</v>
          </cell>
          <cell r="H365" t="str">
            <v>USO E CONSUMO</v>
          </cell>
          <cell r="K365">
            <v>35.6</v>
          </cell>
          <cell r="L365">
            <v>0</v>
          </cell>
        </row>
        <row r="366">
          <cell r="A366" t="str">
            <v>KI ANGELIM</v>
          </cell>
          <cell r="B366" t="str">
            <v>07/2025</v>
          </cell>
          <cell r="H366" t="str">
            <v>USO E CONSUMO</v>
          </cell>
          <cell r="K366">
            <v>35.6</v>
          </cell>
          <cell r="L366">
            <v>0</v>
          </cell>
        </row>
        <row r="367">
          <cell r="A367" t="str">
            <v>KI ANGELIM</v>
          </cell>
          <cell r="B367" t="str">
            <v>05/2025</v>
          </cell>
          <cell r="H367" t="str">
            <v>USO E CONSUMO</v>
          </cell>
          <cell r="K367">
            <v>34.979999999999997</v>
          </cell>
          <cell r="L367">
            <v>2.4500000000000002</v>
          </cell>
        </row>
        <row r="368">
          <cell r="A368" t="str">
            <v>KI ANGELIM</v>
          </cell>
          <cell r="B368" t="str">
            <v>07/2025</v>
          </cell>
          <cell r="H368" t="str">
            <v>USO E CONSUMO</v>
          </cell>
          <cell r="K368">
            <v>31.96</v>
          </cell>
          <cell r="L368">
            <v>2.2400000000000002</v>
          </cell>
        </row>
        <row r="369">
          <cell r="A369" t="str">
            <v>KI ANGELIM</v>
          </cell>
          <cell r="B369" t="str">
            <v>07/2025</v>
          </cell>
          <cell r="H369" t="str">
            <v>USO E CONSUMO</v>
          </cell>
          <cell r="K369">
            <v>31.8</v>
          </cell>
          <cell r="L369">
            <v>0</v>
          </cell>
        </row>
        <row r="370">
          <cell r="A370" t="str">
            <v>KI ANGELIM</v>
          </cell>
          <cell r="B370" t="str">
            <v>07/2025</v>
          </cell>
          <cell r="H370" t="str">
            <v>USO E CONSUMO</v>
          </cell>
          <cell r="K370">
            <v>30.9</v>
          </cell>
          <cell r="L370">
            <v>6.18</v>
          </cell>
        </row>
        <row r="371">
          <cell r="A371" t="str">
            <v>KI ANGELIM</v>
          </cell>
          <cell r="B371" t="str">
            <v>09/2025</v>
          </cell>
          <cell r="H371" t="str">
            <v>USO E CONSUMO</v>
          </cell>
          <cell r="K371">
            <v>29.99</v>
          </cell>
          <cell r="L371">
            <v>6</v>
          </cell>
        </row>
        <row r="372">
          <cell r="A372" t="str">
            <v>KI ANGELIM</v>
          </cell>
          <cell r="B372" t="str">
            <v>04/2025</v>
          </cell>
          <cell r="H372" t="str">
            <v>USO E CONSUMO</v>
          </cell>
          <cell r="K372">
            <v>29.98</v>
          </cell>
          <cell r="L372">
            <v>2.1</v>
          </cell>
        </row>
        <row r="373">
          <cell r="A373" t="str">
            <v>KI ANGELIM</v>
          </cell>
          <cell r="B373" t="str">
            <v>07/2025</v>
          </cell>
          <cell r="H373" t="str">
            <v>USO E CONSUMO</v>
          </cell>
          <cell r="K373">
            <v>28.98</v>
          </cell>
          <cell r="L373">
            <v>0</v>
          </cell>
        </row>
        <row r="374">
          <cell r="A374" t="str">
            <v>KI ANGELIM</v>
          </cell>
          <cell r="B374" t="str">
            <v>07/2025</v>
          </cell>
          <cell r="H374" t="str">
            <v>USO E CONSUMO</v>
          </cell>
          <cell r="K374">
            <v>28.47</v>
          </cell>
          <cell r="L374">
            <v>5.69</v>
          </cell>
        </row>
        <row r="375">
          <cell r="A375" t="str">
            <v>KI ANGELIM</v>
          </cell>
          <cell r="B375" t="str">
            <v>04/2025</v>
          </cell>
          <cell r="H375" t="str">
            <v>USO E CONSUMO</v>
          </cell>
          <cell r="K375">
            <v>28.17</v>
          </cell>
          <cell r="L375">
            <v>0</v>
          </cell>
        </row>
        <row r="376">
          <cell r="A376" t="str">
            <v>KI ANGELIM</v>
          </cell>
          <cell r="B376" t="str">
            <v>09/2025</v>
          </cell>
          <cell r="H376" t="str">
            <v>USO E CONSUMO</v>
          </cell>
          <cell r="K376">
            <v>27.98</v>
          </cell>
          <cell r="L376">
            <v>1.96</v>
          </cell>
        </row>
        <row r="377">
          <cell r="A377" t="str">
            <v>KI ANGELIM</v>
          </cell>
          <cell r="B377" t="str">
            <v>07/2025</v>
          </cell>
          <cell r="H377" t="str">
            <v>USO E CONSUMO</v>
          </cell>
          <cell r="K377">
            <v>27.8</v>
          </cell>
          <cell r="L377">
            <v>0</v>
          </cell>
        </row>
        <row r="378">
          <cell r="A378" t="str">
            <v>KI ANGELIM</v>
          </cell>
          <cell r="B378" t="str">
            <v>09/2025</v>
          </cell>
          <cell r="H378" t="str">
            <v>USO E CONSUMO</v>
          </cell>
          <cell r="K378">
            <v>27.2</v>
          </cell>
          <cell r="L378">
            <v>0</v>
          </cell>
        </row>
        <row r="379">
          <cell r="A379" t="str">
            <v>KI ANGELIM</v>
          </cell>
          <cell r="B379" t="str">
            <v>05/2025</v>
          </cell>
          <cell r="H379" t="str">
            <v>USO E CONSUMO</v>
          </cell>
          <cell r="K379">
            <v>26.59</v>
          </cell>
          <cell r="L379">
            <v>0</v>
          </cell>
        </row>
        <row r="380">
          <cell r="A380" t="str">
            <v>KI ANGELIM</v>
          </cell>
          <cell r="B380" t="str">
            <v>07/2025</v>
          </cell>
          <cell r="H380" t="str">
            <v>USO E CONSUMO</v>
          </cell>
          <cell r="K380">
            <v>26.36</v>
          </cell>
          <cell r="L380">
            <v>5.27</v>
          </cell>
        </row>
        <row r="381">
          <cell r="A381" t="str">
            <v>KI ANGELIM</v>
          </cell>
          <cell r="B381" t="str">
            <v>07/2025</v>
          </cell>
          <cell r="H381" t="str">
            <v>USO E CONSUMO</v>
          </cell>
          <cell r="K381">
            <v>25.5</v>
          </cell>
          <cell r="L381">
            <v>0</v>
          </cell>
        </row>
        <row r="382">
          <cell r="A382" t="str">
            <v>KI ANGELIM</v>
          </cell>
          <cell r="B382" t="str">
            <v>04/2025</v>
          </cell>
          <cell r="H382" t="str">
            <v>USO E CONSUMO</v>
          </cell>
          <cell r="K382">
            <v>25.16</v>
          </cell>
          <cell r="L382">
            <v>0</v>
          </cell>
        </row>
        <row r="383">
          <cell r="A383" t="str">
            <v>KI ANGELIM</v>
          </cell>
          <cell r="B383" t="str">
            <v>05/2025</v>
          </cell>
          <cell r="H383" t="str">
            <v>USO E CONSUMO</v>
          </cell>
          <cell r="K383">
            <v>24.99</v>
          </cell>
          <cell r="L383">
            <v>0</v>
          </cell>
        </row>
        <row r="384">
          <cell r="A384" t="str">
            <v>KI ANGELIM</v>
          </cell>
          <cell r="B384" t="str">
            <v>05/2025</v>
          </cell>
          <cell r="H384" t="str">
            <v>USO E CONSUMO</v>
          </cell>
          <cell r="K384">
            <v>24.77</v>
          </cell>
          <cell r="L384">
            <v>1.73</v>
          </cell>
        </row>
        <row r="385">
          <cell r="A385" t="str">
            <v>KI ANGELIM</v>
          </cell>
          <cell r="B385" t="str">
            <v>04/2025</v>
          </cell>
          <cell r="H385" t="str">
            <v>USO E CONSUMO</v>
          </cell>
          <cell r="K385">
            <v>23.98</v>
          </cell>
          <cell r="L385">
            <v>0</v>
          </cell>
        </row>
        <row r="386">
          <cell r="A386" t="str">
            <v>KI ANGELIM</v>
          </cell>
          <cell r="B386" t="str">
            <v>05/2025</v>
          </cell>
          <cell r="H386" t="str">
            <v>USO E CONSUMO</v>
          </cell>
          <cell r="K386">
            <v>23.8</v>
          </cell>
          <cell r="L386">
            <v>4.76</v>
          </cell>
        </row>
        <row r="387">
          <cell r="A387" t="str">
            <v>KI ANGELIM</v>
          </cell>
          <cell r="B387" t="str">
            <v>07/2025</v>
          </cell>
          <cell r="H387" t="str">
            <v>USO E CONSUMO</v>
          </cell>
          <cell r="K387">
            <v>22.9</v>
          </cell>
          <cell r="L387">
            <v>0</v>
          </cell>
        </row>
        <row r="388">
          <cell r="A388" t="str">
            <v>KI ANGELIM</v>
          </cell>
          <cell r="B388" t="str">
            <v>07/2025</v>
          </cell>
          <cell r="H388" t="str">
            <v>USO E CONSUMO</v>
          </cell>
          <cell r="K388">
            <v>22.9</v>
          </cell>
          <cell r="L388">
            <v>4.58</v>
          </cell>
        </row>
        <row r="389">
          <cell r="A389" t="str">
            <v>KI ANGELIM</v>
          </cell>
          <cell r="B389" t="str">
            <v>06/2025</v>
          </cell>
          <cell r="H389" t="str">
            <v>USO E CONSUMO</v>
          </cell>
          <cell r="K389">
            <v>22.9</v>
          </cell>
          <cell r="L389">
            <v>1.6</v>
          </cell>
        </row>
        <row r="390">
          <cell r="A390" t="str">
            <v>KI ANGELIM</v>
          </cell>
          <cell r="B390" t="str">
            <v>04/2025</v>
          </cell>
          <cell r="H390" t="str">
            <v>USO E CONSUMO</v>
          </cell>
          <cell r="K390">
            <v>22.9</v>
          </cell>
          <cell r="L390">
            <v>1.6</v>
          </cell>
        </row>
        <row r="391">
          <cell r="A391" t="str">
            <v>KI ANGELIM</v>
          </cell>
          <cell r="B391" t="str">
            <v>07/2025</v>
          </cell>
          <cell r="H391" t="str">
            <v>USO E CONSUMO</v>
          </cell>
          <cell r="K391">
            <v>22.47</v>
          </cell>
          <cell r="L391">
            <v>4.49</v>
          </cell>
        </row>
        <row r="392">
          <cell r="A392" t="str">
            <v>KI ANGELIM</v>
          </cell>
          <cell r="B392" t="str">
            <v>05/2025</v>
          </cell>
          <cell r="H392" t="str">
            <v>USO E CONSUMO</v>
          </cell>
          <cell r="K392">
            <v>21.9</v>
          </cell>
          <cell r="L392">
            <v>0</v>
          </cell>
        </row>
        <row r="393">
          <cell r="A393" t="str">
            <v>KI ANGELIM</v>
          </cell>
          <cell r="B393" t="str">
            <v>07/2025</v>
          </cell>
          <cell r="H393" t="str">
            <v>USO E CONSUMO</v>
          </cell>
          <cell r="K393">
            <v>21.8</v>
          </cell>
          <cell r="L393">
            <v>4.3600000000000003</v>
          </cell>
        </row>
        <row r="394">
          <cell r="A394" t="str">
            <v>KI ANGELIM</v>
          </cell>
          <cell r="B394" t="str">
            <v>04/2025</v>
          </cell>
          <cell r="H394" t="str">
            <v>USO E CONSUMO</v>
          </cell>
          <cell r="K394">
            <v>20.59</v>
          </cell>
          <cell r="L394">
            <v>0</v>
          </cell>
        </row>
        <row r="395">
          <cell r="A395" t="str">
            <v>KI ANGELIM</v>
          </cell>
          <cell r="B395" t="str">
            <v>09/2025</v>
          </cell>
          <cell r="H395" t="str">
            <v>USO E CONSUMO</v>
          </cell>
          <cell r="K395">
            <v>19.98</v>
          </cell>
          <cell r="L395">
            <v>0</v>
          </cell>
        </row>
        <row r="396">
          <cell r="A396" t="str">
            <v>KI ANGELIM</v>
          </cell>
          <cell r="B396" t="str">
            <v>04/2025</v>
          </cell>
          <cell r="H396" t="str">
            <v>USO E CONSUMO</v>
          </cell>
          <cell r="K396">
            <v>19.98</v>
          </cell>
          <cell r="L396">
            <v>0</v>
          </cell>
        </row>
        <row r="397">
          <cell r="A397" t="str">
            <v>KI ANGELIM</v>
          </cell>
          <cell r="B397" t="str">
            <v>09/2025</v>
          </cell>
          <cell r="H397" t="str">
            <v>USO E CONSUMO</v>
          </cell>
          <cell r="K397">
            <v>19.899999999999999</v>
          </cell>
          <cell r="L397">
            <v>3.98</v>
          </cell>
        </row>
        <row r="398">
          <cell r="A398" t="str">
            <v>KI ANGELIM</v>
          </cell>
          <cell r="B398" t="str">
            <v>07/2025</v>
          </cell>
          <cell r="H398" t="str">
            <v>USO E CONSUMO</v>
          </cell>
          <cell r="K398">
            <v>19.899999999999999</v>
          </cell>
          <cell r="L398">
            <v>0</v>
          </cell>
        </row>
        <row r="399">
          <cell r="A399" t="str">
            <v>KI ANGELIM</v>
          </cell>
          <cell r="B399" t="str">
            <v>04/2025</v>
          </cell>
          <cell r="H399" t="str">
            <v>USO E CONSUMO</v>
          </cell>
          <cell r="K399">
            <v>19.600000000000001</v>
          </cell>
          <cell r="L399">
            <v>0</v>
          </cell>
        </row>
        <row r="400">
          <cell r="A400" t="str">
            <v>KI ANGELIM</v>
          </cell>
          <cell r="B400" t="str">
            <v>09/2025</v>
          </cell>
          <cell r="H400" t="str">
            <v>USO E CONSUMO</v>
          </cell>
          <cell r="K400">
            <v>19.5</v>
          </cell>
          <cell r="L400">
            <v>2.34</v>
          </cell>
        </row>
        <row r="401">
          <cell r="A401" t="str">
            <v>KI ANGELIM</v>
          </cell>
          <cell r="B401" t="str">
            <v>05/2025</v>
          </cell>
          <cell r="H401" t="str">
            <v>USO E CONSUMO</v>
          </cell>
          <cell r="K401">
            <v>19.489999999999998</v>
          </cell>
          <cell r="L401">
            <v>1.36</v>
          </cell>
        </row>
        <row r="402">
          <cell r="A402" t="str">
            <v>KI ANGELIM</v>
          </cell>
          <cell r="B402" t="str">
            <v>07/2025</v>
          </cell>
          <cell r="H402" t="str">
            <v>USO E CONSUMO</v>
          </cell>
          <cell r="K402">
            <v>19.25</v>
          </cell>
          <cell r="L402">
            <v>0</v>
          </cell>
        </row>
        <row r="403">
          <cell r="A403" t="str">
            <v>KI ANGELIM</v>
          </cell>
          <cell r="B403" t="str">
            <v>04/2025</v>
          </cell>
          <cell r="H403" t="str">
            <v>USO E CONSUMO</v>
          </cell>
          <cell r="K403">
            <v>19</v>
          </cell>
          <cell r="L403">
            <v>0</v>
          </cell>
        </row>
        <row r="404">
          <cell r="A404" t="str">
            <v>KI ANGELIM</v>
          </cell>
          <cell r="B404" t="str">
            <v>04/2025</v>
          </cell>
          <cell r="H404" t="str">
            <v>USO E CONSUMO</v>
          </cell>
          <cell r="K404">
            <v>18.989999999999998</v>
          </cell>
          <cell r="L404">
            <v>1.33</v>
          </cell>
        </row>
        <row r="405">
          <cell r="A405" t="str">
            <v>KI ANGELIM</v>
          </cell>
          <cell r="B405" t="str">
            <v>07/2025</v>
          </cell>
          <cell r="H405" t="str">
            <v>USO E CONSUMO</v>
          </cell>
          <cell r="K405">
            <v>18.899999999999999</v>
          </cell>
          <cell r="L405">
            <v>1.32</v>
          </cell>
        </row>
        <row r="406">
          <cell r="A406" t="str">
            <v>KI ANGELIM</v>
          </cell>
          <cell r="B406" t="str">
            <v>05/2025</v>
          </cell>
          <cell r="H406" t="str">
            <v>USO E CONSUMO</v>
          </cell>
          <cell r="K406">
            <v>17.98</v>
          </cell>
          <cell r="L406">
            <v>0</v>
          </cell>
        </row>
        <row r="407">
          <cell r="A407" t="str">
            <v>KI ANGELIM</v>
          </cell>
          <cell r="B407" t="str">
            <v>07/2025</v>
          </cell>
          <cell r="H407" t="str">
            <v>USO E CONSUMO</v>
          </cell>
          <cell r="K407">
            <v>17.98</v>
          </cell>
          <cell r="L407">
            <v>1.26</v>
          </cell>
        </row>
        <row r="408">
          <cell r="A408" t="str">
            <v>KI ANGELIM</v>
          </cell>
          <cell r="B408" t="str">
            <v>05/2025</v>
          </cell>
          <cell r="H408" t="str">
            <v>USO E CONSUMO</v>
          </cell>
          <cell r="K408">
            <v>17.97</v>
          </cell>
          <cell r="L408">
            <v>3.59</v>
          </cell>
        </row>
        <row r="409">
          <cell r="A409" t="str">
            <v>KI ANGELIM</v>
          </cell>
          <cell r="B409" t="str">
            <v>04/2025</v>
          </cell>
          <cell r="H409" t="str">
            <v>USO E CONSUMO</v>
          </cell>
          <cell r="K409">
            <v>17.97</v>
          </cell>
          <cell r="L409">
            <v>3.59</v>
          </cell>
        </row>
        <row r="410">
          <cell r="A410" t="str">
            <v>KI ANGELIM</v>
          </cell>
          <cell r="B410" t="str">
            <v>05/2025</v>
          </cell>
          <cell r="H410" t="str">
            <v>USO E CONSUMO</v>
          </cell>
          <cell r="K410">
            <v>17.97</v>
          </cell>
          <cell r="L410">
            <v>3.59</v>
          </cell>
        </row>
        <row r="411">
          <cell r="A411" t="str">
            <v>KI ANGELIM</v>
          </cell>
          <cell r="B411" t="str">
            <v>09/2025</v>
          </cell>
          <cell r="H411" t="str">
            <v>USO E CONSUMO</v>
          </cell>
          <cell r="K411">
            <v>17.899999999999999</v>
          </cell>
          <cell r="L411">
            <v>0</v>
          </cell>
        </row>
        <row r="412">
          <cell r="A412" t="str">
            <v>KI ANGELIM</v>
          </cell>
          <cell r="B412" t="str">
            <v>07/2025</v>
          </cell>
          <cell r="H412" t="str">
            <v>USO E CONSUMO</v>
          </cell>
          <cell r="K412">
            <v>17.899999999999999</v>
          </cell>
          <cell r="L412">
            <v>3.58</v>
          </cell>
        </row>
        <row r="413">
          <cell r="A413" t="str">
            <v>KI ANGELIM</v>
          </cell>
          <cell r="B413" t="str">
            <v>09/2025</v>
          </cell>
          <cell r="H413" t="str">
            <v>USO E CONSUMO</v>
          </cell>
          <cell r="K413">
            <v>17.89</v>
          </cell>
          <cell r="L413">
            <v>3.58</v>
          </cell>
        </row>
        <row r="414">
          <cell r="A414" t="str">
            <v>KI ANGELIM</v>
          </cell>
          <cell r="B414" t="str">
            <v>05/2025</v>
          </cell>
          <cell r="H414" t="str">
            <v>USO E CONSUMO</v>
          </cell>
          <cell r="K414">
            <v>17.8</v>
          </cell>
          <cell r="L414">
            <v>0</v>
          </cell>
        </row>
        <row r="415">
          <cell r="A415" t="str">
            <v>KI ANGELIM</v>
          </cell>
          <cell r="B415" t="str">
            <v>07/2025</v>
          </cell>
          <cell r="H415" t="str">
            <v>USO E CONSUMO</v>
          </cell>
          <cell r="K415">
            <v>17.579999999999998</v>
          </cell>
          <cell r="L415">
            <v>3.52</v>
          </cell>
        </row>
        <row r="416">
          <cell r="A416" t="str">
            <v>KI ANGELIM</v>
          </cell>
          <cell r="B416" t="str">
            <v>07/2025</v>
          </cell>
          <cell r="H416" t="str">
            <v>USO E CONSUMO</v>
          </cell>
          <cell r="K416">
            <v>17.399999999999999</v>
          </cell>
          <cell r="L416">
            <v>3.48</v>
          </cell>
        </row>
        <row r="417">
          <cell r="A417" t="str">
            <v>KI ANGELIM</v>
          </cell>
          <cell r="B417" t="str">
            <v>07/2025</v>
          </cell>
          <cell r="H417" t="str">
            <v>USO E CONSUMO</v>
          </cell>
          <cell r="K417">
            <v>16.989999999999998</v>
          </cell>
          <cell r="L417">
            <v>3.4</v>
          </cell>
        </row>
        <row r="418">
          <cell r="A418" t="str">
            <v>KI ANGELIM</v>
          </cell>
          <cell r="B418" t="str">
            <v>04/2025</v>
          </cell>
          <cell r="H418" t="str">
            <v>USO E CONSUMO</v>
          </cell>
          <cell r="K418">
            <v>16.989999999999998</v>
          </cell>
          <cell r="L418">
            <v>3.4</v>
          </cell>
        </row>
        <row r="419">
          <cell r="A419" t="str">
            <v>KI ANGELIM</v>
          </cell>
          <cell r="B419" t="str">
            <v>07/2025</v>
          </cell>
          <cell r="H419" t="str">
            <v>USO E CONSUMO</v>
          </cell>
          <cell r="K419">
            <v>16.899999999999999</v>
          </cell>
          <cell r="L419">
            <v>3.38</v>
          </cell>
        </row>
        <row r="420">
          <cell r="A420" t="str">
            <v>KI ANGELIM</v>
          </cell>
          <cell r="B420" t="str">
            <v>05/2025</v>
          </cell>
          <cell r="H420" t="str">
            <v>USO E CONSUMO</v>
          </cell>
          <cell r="K420">
            <v>16.899999999999999</v>
          </cell>
          <cell r="L420">
            <v>0</v>
          </cell>
        </row>
        <row r="421">
          <cell r="A421" t="str">
            <v>KI ANGELIM</v>
          </cell>
          <cell r="B421" t="str">
            <v>07/2025</v>
          </cell>
          <cell r="H421" t="str">
            <v>USO E CONSUMO</v>
          </cell>
          <cell r="K421">
            <v>16.8</v>
          </cell>
          <cell r="L421">
            <v>3.36</v>
          </cell>
        </row>
        <row r="422">
          <cell r="A422" t="str">
            <v>KI ANGELIM</v>
          </cell>
          <cell r="B422" t="str">
            <v>09/2025</v>
          </cell>
          <cell r="H422" t="str">
            <v>USO E CONSUMO</v>
          </cell>
          <cell r="K422">
            <v>16.489999999999998</v>
          </cell>
          <cell r="L422">
            <v>0</v>
          </cell>
        </row>
        <row r="423">
          <cell r="A423" t="str">
            <v>KI ANGELIM</v>
          </cell>
          <cell r="B423" t="str">
            <v>07/2025</v>
          </cell>
          <cell r="H423" t="str">
            <v>USO E CONSUMO</v>
          </cell>
          <cell r="K423">
            <v>15.9</v>
          </cell>
          <cell r="L423">
            <v>3.18</v>
          </cell>
        </row>
        <row r="424">
          <cell r="A424" t="str">
            <v>KI ANGELIM</v>
          </cell>
          <cell r="B424" t="str">
            <v>07/2025</v>
          </cell>
          <cell r="H424" t="str">
            <v>USO E CONSUMO</v>
          </cell>
          <cell r="K424">
            <v>15.57</v>
          </cell>
          <cell r="L424">
            <v>1.0900000000000001</v>
          </cell>
        </row>
        <row r="425">
          <cell r="A425" t="str">
            <v>KI ANGELIM</v>
          </cell>
          <cell r="B425" t="str">
            <v>05/2025</v>
          </cell>
          <cell r="H425" t="str">
            <v>USO E CONSUMO</v>
          </cell>
          <cell r="K425">
            <v>15.49</v>
          </cell>
          <cell r="L425">
            <v>0</v>
          </cell>
        </row>
        <row r="426">
          <cell r="A426" t="str">
            <v>KI ANGELIM</v>
          </cell>
          <cell r="B426" t="str">
            <v>09/2025</v>
          </cell>
          <cell r="H426" t="str">
            <v>USO E CONSUMO</v>
          </cell>
          <cell r="K426">
            <v>15.48</v>
          </cell>
          <cell r="L426">
            <v>3.1</v>
          </cell>
        </row>
        <row r="427">
          <cell r="A427" t="str">
            <v>KI ANGELIM</v>
          </cell>
          <cell r="B427" t="str">
            <v>07/2025</v>
          </cell>
          <cell r="H427" t="str">
            <v>USO E CONSUMO</v>
          </cell>
          <cell r="K427">
            <v>15.38</v>
          </cell>
          <cell r="L427">
            <v>3.08</v>
          </cell>
        </row>
        <row r="428">
          <cell r="A428" t="str">
            <v>KI ANGELIM</v>
          </cell>
          <cell r="B428" t="str">
            <v>05/2025</v>
          </cell>
          <cell r="H428" t="str">
            <v>USO E CONSUMO</v>
          </cell>
          <cell r="K428">
            <v>14.99</v>
          </cell>
          <cell r="L428">
            <v>0</v>
          </cell>
        </row>
        <row r="429">
          <cell r="A429" t="str">
            <v>KI ANGELIM</v>
          </cell>
          <cell r="B429" t="str">
            <v>04/2025</v>
          </cell>
          <cell r="H429" t="str">
            <v>USO E CONSUMO</v>
          </cell>
          <cell r="K429">
            <v>14.98</v>
          </cell>
          <cell r="L429">
            <v>0</v>
          </cell>
        </row>
        <row r="430">
          <cell r="A430" t="str">
            <v>KI ANGELIM</v>
          </cell>
          <cell r="B430" t="str">
            <v>09/2025</v>
          </cell>
          <cell r="H430" t="str">
            <v>USO E CONSUMO</v>
          </cell>
          <cell r="K430">
            <v>14.98</v>
          </cell>
          <cell r="L430">
            <v>1.05</v>
          </cell>
        </row>
        <row r="431">
          <cell r="A431" t="str">
            <v>KI ANGELIM</v>
          </cell>
          <cell r="B431" t="str">
            <v>07/2025</v>
          </cell>
          <cell r="H431" t="str">
            <v>USO E CONSUMO</v>
          </cell>
          <cell r="K431">
            <v>14.9</v>
          </cell>
          <cell r="L431">
            <v>0</v>
          </cell>
        </row>
        <row r="432">
          <cell r="A432" t="str">
            <v>KI ANGELIM</v>
          </cell>
          <cell r="B432" t="str">
            <v>07/2025</v>
          </cell>
          <cell r="H432" t="str">
            <v>USO E CONSUMO</v>
          </cell>
          <cell r="K432">
            <v>14.9</v>
          </cell>
          <cell r="L432">
            <v>0</v>
          </cell>
        </row>
        <row r="433">
          <cell r="A433" t="str">
            <v>KI ANGELIM</v>
          </cell>
          <cell r="B433" t="str">
            <v>07/2025</v>
          </cell>
          <cell r="H433" t="str">
            <v>USO E CONSUMO</v>
          </cell>
          <cell r="K433">
            <v>14.9</v>
          </cell>
          <cell r="L433">
            <v>0</v>
          </cell>
        </row>
        <row r="434">
          <cell r="A434" t="str">
            <v>KI ANGELIM</v>
          </cell>
          <cell r="B434" t="str">
            <v>09/2025</v>
          </cell>
          <cell r="H434" t="str">
            <v>USO E CONSUMO</v>
          </cell>
          <cell r="K434">
            <v>14.9</v>
          </cell>
          <cell r="L434">
            <v>0</v>
          </cell>
        </row>
        <row r="435">
          <cell r="A435" t="str">
            <v>KI ANGELIM</v>
          </cell>
          <cell r="B435" t="str">
            <v>07/2025</v>
          </cell>
          <cell r="H435" t="str">
            <v>USO E CONSUMO</v>
          </cell>
          <cell r="K435">
            <v>14.9</v>
          </cell>
          <cell r="L435">
            <v>2.98</v>
          </cell>
        </row>
        <row r="436">
          <cell r="A436" t="str">
            <v>KI ANGELIM</v>
          </cell>
          <cell r="B436" t="str">
            <v>05/2025</v>
          </cell>
          <cell r="H436" t="str">
            <v>USO E CONSUMO</v>
          </cell>
          <cell r="K436">
            <v>14.9</v>
          </cell>
          <cell r="L436">
            <v>0</v>
          </cell>
        </row>
        <row r="437">
          <cell r="A437" t="str">
            <v>KI ANGELIM</v>
          </cell>
          <cell r="B437" t="str">
            <v>09/2025</v>
          </cell>
          <cell r="H437" t="str">
            <v>USO E CONSUMO</v>
          </cell>
          <cell r="K437">
            <v>14.59</v>
          </cell>
          <cell r="L437">
            <v>2.92</v>
          </cell>
        </row>
        <row r="438">
          <cell r="A438" t="str">
            <v>KI ANGELIM</v>
          </cell>
          <cell r="B438" t="str">
            <v>09/2025</v>
          </cell>
          <cell r="H438" t="str">
            <v>USO E CONSUMO</v>
          </cell>
          <cell r="K438">
            <v>14.58</v>
          </cell>
          <cell r="L438">
            <v>0</v>
          </cell>
        </row>
        <row r="439">
          <cell r="A439" t="str">
            <v>KI ANGELIM</v>
          </cell>
          <cell r="B439" t="str">
            <v>09/2025</v>
          </cell>
          <cell r="H439" t="str">
            <v>USO E CONSUMO</v>
          </cell>
          <cell r="K439">
            <v>14.49</v>
          </cell>
          <cell r="L439">
            <v>0</v>
          </cell>
        </row>
        <row r="440">
          <cell r="A440" t="str">
            <v>KI ANGELIM</v>
          </cell>
          <cell r="B440" t="str">
            <v>07/2025</v>
          </cell>
          <cell r="H440" t="str">
            <v>USO E CONSUMO</v>
          </cell>
          <cell r="K440">
            <v>14.36</v>
          </cell>
          <cell r="L440">
            <v>0</v>
          </cell>
        </row>
        <row r="441">
          <cell r="A441" t="str">
            <v>KI ANGELIM</v>
          </cell>
          <cell r="B441" t="str">
            <v>05/2025</v>
          </cell>
          <cell r="H441" t="str">
            <v>USO E CONSUMO</v>
          </cell>
          <cell r="K441">
            <v>14.34</v>
          </cell>
          <cell r="L441">
            <v>0</v>
          </cell>
        </row>
        <row r="442">
          <cell r="A442" t="str">
            <v>KI ANGELIM</v>
          </cell>
          <cell r="B442" t="str">
            <v>09/2025</v>
          </cell>
          <cell r="H442" t="str">
            <v>USO E CONSUMO</v>
          </cell>
          <cell r="K442">
            <v>13.98</v>
          </cell>
          <cell r="L442">
            <v>2.8</v>
          </cell>
        </row>
        <row r="443">
          <cell r="A443" t="str">
            <v>KI ANGELIM</v>
          </cell>
          <cell r="B443" t="str">
            <v>09/2025</v>
          </cell>
          <cell r="H443" t="str">
            <v>USO E CONSUMO</v>
          </cell>
          <cell r="K443">
            <v>13.98</v>
          </cell>
          <cell r="L443">
            <v>0</v>
          </cell>
        </row>
        <row r="444">
          <cell r="A444" t="str">
            <v>KI ANGELIM</v>
          </cell>
          <cell r="B444" t="str">
            <v>05/2025</v>
          </cell>
          <cell r="H444" t="str">
            <v>USO E CONSUMO</v>
          </cell>
          <cell r="K444">
            <v>13.96</v>
          </cell>
          <cell r="L444">
            <v>2.79</v>
          </cell>
        </row>
        <row r="445">
          <cell r="A445" t="str">
            <v>KI ANGELIM</v>
          </cell>
          <cell r="B445" t="str">
            <v>05/2025</v>
          </cell>
          <cell r="H445" t="str">
            <v>USO E CONSUMO</v>
          </cell>
          <cell r="K445">
            <v>13.9</v>
          </cell>
          <cell r="L445">
            <v>0</v>
          </cell>
        </row>
        <row r="446">
          <cell r="A446" t="str">
            <v>KI ANGELIM</v>
          </cell>
          <cell r="B446" t="str">
            <v>05/2025</v>
          </cell>
          <cell r="H446" t="str">
            <v>USO E CONSUMO</v>
          </cell>
          <cell r="K446">
            <v>13.9</v>
          </cell>
          <cell r="L446">
            <v>2.78</v>
          </cell>
        </row>
        <row r="447">
          <cell r="A447" t="str">
            <v>KI ANGELIM</v>
          </cell>
          <cell r="B447" t="str">
            <v>05/2025</v>
          </cell>
          <cell r="H447" t="str">
            <v>USO E CONSUMO</v>
          </cell>
          <cell r="K447">
            <v>13.8</v>
          </cell>
          <cell r="L447">
            <v>0</v>
          </cell>
        </row>
        <row r="448">
          <cell r="A448" t="str">
            <v>KI ANGELIM</v>
          </cell>
          <cell r="B448" t="str">
            <v>09/2025</v>
          </cell>
          <cell r="H448" t="str">
            <v>USO E CONSUMO</v>
          </cell>
          <cell r="K448">
            <v>13.59</v>
          </cell>
          <cell r="L448">
            <v>0</v>
          </cell>
        </row>
        <row r="449">
          <cell r="A449" t="str">
            <v>KI ANGELIM</v>
          </cell>
          <cell r="B449" t="str">
            <v>07/2025</v>
          </cell>
          <cell r="H449" t="str">
            <v>USO E CONSUMO</v>
          </cell>
          <cell r="K449">
            <v>13.49</v>
          </cell>
          <cell r="L449">
            <v>0</v>
          </cell>
        </row>
        <row r="450">
          <cell r="A450" t="str">
            <v>KI ANGELIM</v>
          </cell>
          <cell r="B450" t="str">
            <v>04/2025</v>
          </cell>
          <cell r="H450" t="str">
            <v>USO E CONSUMO</v>
          </cell>
          <cell r="K450">
            <v>13.49</v>
          </cell>
          <cell r="L450">
            <v>2.7</v>
          </cell>
        </row>
        <row r="451">
          <cell r="A451" t="str">
            <v>KI ANGELIM</v>
          </cell>
          <cell r="B451" t="str">
            <v>04/2025</v>
          </cell>
          <cell r="H451" t="str">
            <v>USO E CONSUMO</v>
          </cell>
          <cell r="K451">
            <v>13.18</v>
          </cell>
          <cell r="L451">
            <v>2.64</v>
          </cell>
        </row>
        <row r="452">
          <cell r="A452" t="str">
            <v>KI ANGELIM</v>
          </cell>
          <cell r="B452" t="str">
            <v>04/2025</v>
          </cell>
          <cell r="H452" t="str">
            <v>USO E CONSUMO</v>
          </cell>
          <cell r="K452">
            <v>13.18</v>
          </cell>
          <cell r="L452">
            <v>2.64</v>
          </cell>
        </row>
        <row r="453">
          <cell r="A453" t="str">
            <v>KI ANGELIM</v>
          </cell>
          <cell r="B453" t="str">
            <v>04/2025</v>
          </cell>
          <cell r="H453" t="str">
            <v>USO E CONSUMO</v>
          </cell>
          <cell r="K453">
            <v>12.99</v>
          </cell>
          <cell r="L453">
            <v>0</v>
          </cell>
        </row>
        <row r="454">
          <cell r="A454" t="str">
            <v>KI ANGELIM</v>
          </cell>
          <cell r="B454" t="str">
            <v>04/2025</v>
          </cell>
          <cell r="H454" t="str">
            <v>USO E CONSUMO</v>
          </cell>
          <cell r="K454">
            <v>12.98</v>
          </cell>
          <cell r="L454">
            <v>0</v>
          </cell>
        </row>
        <row r="455">
          <cell r="A455" t="str">
            <v>KI ANGELIM</v>
          </cell>
          <cell r="B455" t="str">
            <v>07/2025</v>
          </cell>
          <cell r="H455" t="str">
            <v>USO E CONSUMO</v>
          </cell>
          <cell r="K455">
            <v>12.9</v>
          </cell>
          <cell r="L455">
            <v>0</v>
          </cell>
        </row>
        <row r="456">
          <cell r="A456" t="str">
            <v>KI ANGELIM</v>
          </cell>
          <cell r="B456" t="str">
            <v>07/2025</v>
          </cell>
          <cell r="H456" t="str">
            <v>USO E CONSUMO</v>
          </cell>
          <cell r="K456">
            <v>12.9</v>
          </cell>
          <cell r="L456">
            <v>0</v>
          </cell>
        </row>
        <row r="457">
          <cell r="A457" t="str">
            <v>KI ANGELIM</v>
          </cell>
          <cell r="B457" t="str">
            <v>09/2025</v>
          </cell>
          <cell r="H457" t="str">
            <v>USO E CONSUMO</v>
          </cell>
          <cell r="K457">
            <v>12.9</v>
          </cell>
          <cell r="L457">
            <v>2.58</v>
          </cell>
        </row>
        <row r="458">
          <cell r="A458" t="str">
            <v>KI ANGELIM</v>
          </cell>
          <cell r="B458" t="str">
            <v>07/2025</v>
          </cell>
          <cell r="H458" t="str">
            <v>USO E CONSUMO</v>
          </cell>
          <cell r="K458">
            <v>12.7</v>
          </cell>
          <cell r="L458">
            <v>2.54</v>
          </cell>
        </row>
        <row r="459">
          <cell r="A459" t="str">
            <v>KI ANGELIM</v>
          </cell>
          <cell r="B459" t="str">
            <v>07/2025</v>
          </cell>
          <cell r="H459" t="str">
            <v>USO E CONSUMO</v>
          </cell>
          <cell r="K459">
            <v>12.58</v>
          </cell>
          <cell r="L459">
            <v>0</v>
          </cell>
        </row>
        <row r="460">
          <cell r="A460" t="str">
            <v>KI ANGELIM</v>
          </cell>
          <cell r="B460" t="str">
            <v>04/2025</v>
          </cell>
          <cell r="H460" t="str">
            <v>USO E CONSUMO</v>
          </cell>
          <cell r="K460">
            <v>12.58</v>
          </cell>
          <cell r="L460">
            <v>0</v>
          </cell>
        </row>
        <row r="461">
          <cell r="A461" t="str">
            <v>KI ANGELIM</v>
          </cell>
          <cell r="B461" t="str">
            <v>09/2025</v>
          </cell>
          <cell r="H461" t="str">
            <v>USO E CONSUMO</v>
          </cell>
          <cell r="K461">
            <v>12.5</v>
          </cell>
          <cell r="L461">
            <v>0</v>
          </cell>
        </row>
        <row r="462">
          <cell r="A462" t="str">
            <v>KI ANGELIM</v>
          </cell>
          <cell r="B462" t="str">
            <v>06/2025</v>
          </cell>
          <cell r="H462" t="str">
            <v>USO E CONSUMO</v>
          </cell>
          <cell r="K462">
            <v>12.45</v>
          </cell>
          <cell r="L462">
            <v>0</v>
          </cell>
        </row>
        <row r="463">
          <cell r="A463" t="str">
            <v>KI ANGELIM</v>
          </cell>
          <cell r="B463" t="str">
            <v>07/2025</v>
          </cell>
          <cell r="H463" t="str">
            <v>USO E CONSUMO</v>
          </cell>
          <cell r="K463">
            <v>12.38</v>
          </cell>
          <cell r="L463">
            <v>0</v>
          </cell>
        </row>
        <row r="464">
          <cell r="A464" t="str">
            <v>KI ANGELIM</v>
          </cell>
          <cell r="B464" t="str">
            <v>04/2025</v>
          </cell>
          <cell r="H464" t="str">
            <v>USO E CONSUMO</v>
          </cell>
          <cell r="K464">
            <v>11.98</v>
          </cell>
          <cell r="L464">
            <v>0</v>
          </cell>
        </row>
        <row r="465">
          <cell r="A465" t="str">
            <v>KI ANGELIM</v>
          </cell>
          <cell r="B465" t="str">
            <v>05/2025</v>
          </cell>
          <cell r="H465" t="str">
            <v>USO E CONSUMO</v>
          </cell>
          <cell r="K465">
            <v>11.97</v>
          </cell>
          <cell r="L465">
            <v>2.39</v>
          </cell>
        </row>
        <row r="466">
          <cell r="A466" t="str">
            <v>KI ANGELIM</v>
          </cell>
          <cell r="B466" t="str">
            <v>05/2025</v>
          </cell>
          <cell r="H466" t="str">
            <v>USO E CONSUMO</v>
          </cell>
          <cell r="K466">
            <v>11.9</v>
          </cell>
          <cell r="L466">
            <v>0</v>
          </cell>
        </row>
        <row r="467">
          <cell r="A467" t="str">
            <v>KI ANGELIM</v>
          </cell>
          <cell r="B467" t="str">
            <v>09/2025</v>
          </cell>
          <cell r="H467" t="str">
            <v>USO E CONSUMO</v>
          </cell>
          <cell r="K467">
            <v>11.9</v>
          </cell>
          <cell r="L467">
            <v>2.38</v>
          </cell>
        </row>
        <row r="468">
          <cell r="A468" t="str">
            <v>KI ANGELIM</v>
          </cell>
          <cell r="B468" t="str">
            <v>06/2025</v>
          </cell>
          <cell r="H468" t="str">
            <v>USO E CONSUMO</v>
          </cell>
          <cell r="K468">
            <v>11.73</v>
          </cell>
          <cell r="L468">
            <v>0</v>
          </cell>
        </row>
        <row r="469">
          <cell r="A469" t="str">
            <v>KI ANGELIM</v>
          </cell>
          <cell r="B469" t="str">
            <v>05/2025</v>
          </cell>
          <cell r="H469" t="str">
            <v>USO E CONSUMO</v>
          </cell>
          <cell r="K469">
            <v>11.67</v>
          </cell>
          <cell r="L469">
            <v>2.33</v>
          </cell>
        </row>
        <row r="470">
          <cell r="A470" t="str">
            <v>KI ANGELIM</v>
          </cell>
          <cell r="B470" t="str">
            <v>04/2025</v>
          </cell>
          <cell r="H470" t="str">
            <v>USO E CONSUMO</v>
          </cell>
          <cell r="K470">
            <v>11.58</v>
          </cell>
          <cell r="L470">
            <v>0</v>
          </cell>
        </row>
        <row r="471">
          <cell r="A471" t="str">
            <v>KI ANGELIM</v>
          </cell>
          <cell r="B471" t="str">
            <v>07/2025</v>
          </cell>
          <cell r="H471" t="str">
            <v>USO E CONSUMO</v>
          </cell>
          <cell r="K471">
            <v>10.98</v>
          </cell>
          <cell r="L471">
            <v>2.2000000000000002</v>
          </cell>
        </row>
        <row r="472">
          <cell r="A472" t="str">
            <v>KI ANGELIM</v>
          </cell>
          <cell r="B472" t="str">
            <v>07/2025</v>
          </cell>
          <cell r="H472" t="str">
            <v>USO E CONSUMO</v>
          </cell>
          <cell r="K472">
            <v>10.9</v>
          </cell>
          <cell r="L472">
            <v>0</v>
          </cell>
        </row>
        <row r="473">
          <cell r="A473" t="str">
            <v>KI ANGELIM</v>
          </cell>
          <cell r="B473" t="str">
            <v>05/2025</v>
          </cell>
          <cell r="H473" t="str">
            <v>USO E CONSUMO</v>
          </cell>
          <cell r="K473">
            <v>10.9</v>
          </cell>
          <cell r="L473">
            <v>0</v>
          </cell>
        </row>
        <row r="474">
          <cell r="A474" t="str">
            <v>KI ANGELIM</v>
          </cell>
          <cell r="B474" t="str">
            <v>04/2025</v>
          </cell>
          <cell r="H474" t="str">
            <v>USO E CONSUMO</v>
          </cell>
          <cell r="K474">
            <v>10.9</v>
          </cell>
          <cell r="L474">
            <v>0</v>
          </cell>
        </row>
        <row r="475">
          <cell r="A475" t="str">
            <v>KI ANGELIM</v>
          </cell>
          <cell r="B475" t="str">
            <v>04/2025</v>
          </cell>
          <cell r="H475" t="str">
            <v>USO E CONSUMO</v>
          </cell>
          <cell r="K475">
            <v>10.58</v>
          </cell>
          <cell r="L475">
            <v>2.12</v>
          </cell>
        </row>
        <row r="476">
          <cell r="A476" t="str">
            <v>KI ANGELIM</v>
          </cell>
          <cell r="B476" t="str">
            <v>05/2025</v>
          </cell>
          <cell r="H476" t="str">
            <v>USO E CONSUMO</v>
          </cell>
          <cell r="K476">
            <v>10.49</v>
          </cell>
          <cell r="L476">
            <v>0</v>
          </cell>
        </row>
        <row r="477">
          <cell r="A477" t="str">
            <v>KI ANGELIM</v>
          </cell>
          <cell r="B477" t="str">
            <v>04/2025</v>
          </cell>
          <cell r="H477" t="str">
            <v>USO E CONSUMO</v>
          </cell>
          <cell r="K477">
            <v>10.42</v>
          </cell>
          <cell r="L477">
            <v>0</v>
          </cell>
        </row>
        <row r="478">
          <cell r="A478" t="str">
            <v>KI ANGELIM</v>
          </cell>
          <cell r="B478" t="str">
            <v>06/2025</v>
          </cell>
          <cell r="H478" t="str">
            <v>USO E CONSUMO</v>
          </cell>
          <cell r="K478">
            <v>9.99</v>
          </cell>
          <cell r="L478">
            <v>0</v>
          </cell>
        </row>
        <row r="479">
          <cell r="A479" t="str">
            <v>KI ANGELIM</v>
          </cell>
          <cell r="B479" t="str">
            <v>09/2025</v>
          </cell>
          <cell r="H479" t="str">
            <v>USO E CONSUMO</v>
          </cell>
          <cell r="K479">
            <v>9.99</v>
          </cell>
          <cell r="L479">
            <v>2</v>
          </cell>
        </row>
        <row r="480">
          <cell r="A480" t="str">
            <v>KI ANGELIM</v>
          </cell>
          <cell r="B480" t="str">
            <v>07/2025</v>
          </cell>
          <cell r="H480" t="str">
            <v>USO E CONSUMO</v>
          </cell>
          <cell r="K480">
            <v>9.98</v>
          </cell>
          <cell r="L480">
            <v>0.7</v>
          </cell>
        </row>
        <row r="481">
          <cell r="A481" t="str">
            <v>KI ANGELIM</v>
          </cell>
          <cell r="B481" t="str">
            <v>07/2025</v>
          </cell>
          <cell r="H481" t="str">
            <v>USO E CONSUMO</v>
          </cell>
          <cell r="K481">
            <v>9.9</v>
          </cell>
          <cell r="L481">
            <v>1.98</v>
          </cell>
        </row>
        <row r="482">
          <cell r="A482" t="str">
            <v>KI ANGELIM</v>
          </cell>
          <cell r="B482" t="str">
            <v>07/2025</v>
          </cell>
          <cell r="H482" t="str">
            <v>USO E CONSUMO</v>
          </cell>
          <cell r="K482">
            <v>9.8699999999999992</v>
          </cell>
          <cell r="L482">
            <v>1.97</v>
          </cell>
        </row>
        <row r="483">
          <cell r="A483" t="str">
            <v>KI ANGELIM</v>
          </cell>
          <cell r="B483" t="str">
            <v>04/2025</v>
          </cell>
          <cell r="H483" t="str">
            <v>USO E CONSUMO</v>
          </cell>
          <cell r="K483">
            <v>9.7799999999999994</v>
          </cell>
          <cell r="L483">
            <v>1.96</v>
          </cell>
        </row>
        <row r="484">
          <cell r="A484" t="str">
            <v>KI ANGELIM</v>
          </cell>
          <cell r="B484" t="str">
            <v>05/2025</v>
          </cell>
          <cell r="H484" t="str">
            <v>USO E CONSUMO</v>
          </cell>
          <cell r="K484">
            <v>9.7799999999999994</v>
          </cell>
          <cell r="L484">
            <v>0</v>
          </cell>
        </row>
        <row r="485">
          <cell r="A485" t="str">
            <v>KI ANGELIM</v>
          </cell>
          <cell r="B485" t="str">
            <v>04/2025</v>
          </cell>
          <cell r="H485" t="str">
            <v>USO E CONSUMO</v>
          </cell>
          <cell r="K485">
            <v>9.5299999999999994</v>
          </cell>
          <cell r="L485">
            <v>0</v>
          </cell>
        </row>
        <row r="486">
          <cell r="A486" t="str">
            <v>KI ANGELIM</v>
          </cell>
          <cell r="B486" t="str">
            <v>04/2025</v>
          </cell>
          <cell r="H486" t="str">
            <v>USO E CONSUMO</v>
          </cell>
          <cell r="K486">
            <v>9.39</v>
          </cell>
          <cell r="L486">
            <v>0</v>
          </cell>
        </row>
        <row r="487">
          <cell r="A487" t="str">
            <v>KI ANGELIM</v>
          </cell>
          <cell r="B487" t="str">
            <v>07/2025</v>
          </cell>
          <cell r="H487" t="str">
            <v>USO E CONSUMO</v>
          </cell>
          <cell r="K487">
            <v>9.3800000000000008</v>
          </cell>
          <cell r="L487">
            <v>0</v>
          </cell>
        </row>
        <row r="488">
          <cell r="A488" t="str">
            <v>KI ANGELIM</v>
          </cell>
          <cell r="B488" t="str">
            <v>04/2025</v>
          </cell>
          <cell r="H488" t="str">
            <v>USO E CONSUMO</v>
          </cell>
          <cell r="K488">
            <v>9.15</v>
          </cell>
          <cell r="L488">
            <v>0</v>
          </cell>
        </row>
        <row r="489">
          <cell r="A489" t="str">
            <v>KI ANGELIM</v>
          </cell>
          <cell r="B489" t="str">
            <v>04/2025</v>
          </cell>
          <cell r="H489" t="str">
            <v>USO E CONSUMO</v>
          </cell>
          <cell r="K489">
            <v>8.99</v>
          </cell>
          <cell r="L489">
            <v>0</v>
          </cell>
        </row>
        <row r="490">
          <cell r="A490" t="str">
            <v>KI ANGELIM</v>
          </cell>
          <cell r="B490" t="str">
            <v>07/2025</v>
          </cell>
          <cell r="H490" t="str">
            <v>USO E CONSUMO</v>
          </cell>
          <cell r="K490">
            <v>8.99</v>
          </cell>
          <cell r="L490">
            <v>1.8</v>
          </cell>
        </row>
        <row r="491">
          <cell r="A491" t="str">
            <v>KI ANGELIM</v>
          </cell>
          <cell r="B491" t="str">
            <v>07/2025</v>
          </cell>
          <cell r="H491" t="str">
            <v>USO E CONSUMO</v>
          </cell>
          <cell r="K491">
            <v>8.99</v>
          </cell>
          <cell r="L491">
            <v>1.8</v>
          </cell>
        </row>
        <row r="492">
          <cell r="A492" t="str">
            <v>KI ANGELIM</v>
          </cell>
          <cell r="B492" t="str">
            <v>07/2025</v>
          </cell>
          <cell r="H492" t="str">
            <v>USO E CONSUMO</v>
          </cell>
          <cell r="K492">
            <v>8.99</v>
          </cell>
          <cell r="L492">
            <v>0.63</v>
          </cell>
        </row>
        <row r="493">
          <cell r="A493" t="str">
            <v>KI ANGELIM</v>
          </cell>
          <cell r="B493" t="str">
            <v>07/2025</v>
          </cell>
          <cell r="H493" t="str">
            <v>USO E CONSUMO</v>
          </cell>
          <cell r="K493">
            <v>8.99</v>
          </cell>
          <cell r="L493">
            <v>0.63</v>
          </cell>
        </row>
        <row r="494">
          <cell r="A494" t="str">
            <v>KI ANGELIM</v>
          </cell>
          <cell r="B494" t="str">
            <v>06/2025</v>
          </cell>
          <cell r="H494" t="str">
            <v>USO E CONSUMO</v>
          </cell>
          <cell r="K494">
            <v>8.99</v>
          </cell>
          <cell r="L494">
            <v>0</v>
          </cell>
        </row>
        <row r="495">
          <cell r="A495" t="str">
            <v>KI ANGELIM</v>
          </cell>
          <cell r="B495" t="str">
            <v>07/2025</v>
          </cell>
          <cell r="H495" t="str">
            <v>USO E CONSUMO</v>
          </cell>
          <cell r="K495">
            <v>8.98</v>
          </cell>
          <cell r="L495">
            <v>0.63</v>
          </cell>
        </row>
        <row r="496">
          <cell r="A496" t="str">
            <v>KI ANGELIM</v>
          </cell>
          <cell r="B496" t="str">
            <v>04/2025</v>
          </cell>
          <cell r="H496" t="str">
            <v>USO E CONSUMO</v>
          </cell>
          <cell r="K496">
            <v>8.9700000000000006</v>
          </cell>
          <cell r="L496">
            <v>1.79</v>
          </cell>
        </row>
        <row r="497">
          <cell r="A497" t="str">
            <v>KI ANGELIM</v>
          </cell>
          <cell r="B497" t="str">
            <v>09/2025</v>
          </cell>
          <cell r="H497" t="str">
            <v>USO E CONSUMO</v>
          </cell>
          <cell r="K497">
            <v>8.9700000000000006</v>
          </cell>
          <cell r="L497">
            <v>1.79</v>
          </cell>
        </row>
        <row r="498">
          <cell r="A498" t="str">
            <v>KI ANGELIM</v>
          </cell>
          <cell r="B498" t="str">
            <v>09/2025</v>
          </cell>
          <cell r="H498" t="str">
            <v>USO E CONSUMO</v>
          </cell>
          <cell r="K498">
            <v>8.9600000000000009</v>
          </cell>
          <cell r="L498">
            <v>0.63</v>
          </cell>
        </row>
        <row r="499">
          <cell r="A499" t="str">
            <v>KI ANGELIM</v>
          </cell>
          <cell r="B499" t="str">
            <v>05/2025</v>
          </cell>
          <cell r="H499" t="str">
            <v>USO E CONSUMO</v>
          </cell>
          <cell r="K499">
            <v>8.7799999999999994</v>
          </cell>
          <cell r="L499">
            <v>0</v>
          </cell>
        </row>
        <row r="500">
          <cell r="A500" t="str">
            <v>KI ANGELIM</v>
          </cell>
          <cell r="B500" t="str">
            <v>05/2025</v>
          </cell>
          <cell r="H500" t="str">
            <v>USO E CONSUMO</v>
          </cell>
          <cell r="K500">
            <v>8.69</v>
          </cell>
          <cell r="L500">
            <v>0</v>
          </cell>
        </row>
        <row r="501">
          <cell r="A501" t="str">
            <v>KI ANGELIM</v>
          </cell>
          <cell r="B501" t="str">
            <v>04/2025</v>
          </cell>
          <cell r="H501" t="str">
            <v>USO E CONSUMO</v>
          </cell>
          <cell r="K501">
            <v>8.49</v>
          </cell>
          <cell r="L501">
            <v>1.7</v>
          </cell>
        </row>
        <row r="502">
          <cell r="A502" t="str">
            <v>KI ANGELIM</v>
          </cell>
          <cell r="B502" t="str">
            <v>05/2025</v>
          </cell>
          <cell r="H502" t="str">
            <v>USO E CONSUMO</v>
          </cell>
          <cell r="K502">
            <v>8.49</v>
          </cell>
          <cell r="L502">
            <v>0</v>
          </cell>
        </row>
        <row r="503">
          <cell r="A503" t="str">
            <v>KI ANGELIM</v>
          </cell>
          <cell r="B503" t="str">
            <v>06/2025</v>
          </cell>
          <cell r="H503" t="str">
            <v>USO E CONSUMO</v>
          </cell>
          <cell r="K503">
            <v>8.4499999999999993</v>
          </cell>
          <cell r="L503">
            <v>0</v>
          </cell>
        </row>
        <row r="504">
          <cell r="A504" t="str">
            <v>KI ANGELIM</v>
          </cell>
          <cell r="B504" t="str">
            <v>05/2025</v>
          </cell>
          <cell r="H504" t="str">
            <v>USO E CONSUMO</v>
          </cell>
          <cell r="K504">
            <v>8.3699999999999992</v>
          </cell>
          <cell r="L504">
            <v>1.67</v>
          </cell>
        </row>
        <row r="505">
          <cell r="A505" t="str">
            <v>KI ANGELIM</v>
          </cell>
          <cell r="B505" t="str">
            <v>05/2025</v>
          </cell>
          <cell r="H505" t="str">
            <v>USO E CONSUMO</v>
          </cell>
          <cell r="K505">
            <v>8.3699999999999992</v>
          </cell>
          <cell r="L505">
            <v>1.67</v>
          </cell>
        </row>
        <row r="506">
          <cell r="A506" t="str">
            <v>KI ANGELIM</v>
          </cell>
          <cell r="B506" t="str">
            <v>04/2025</v>
          </cell>
          <cell r="H506" t="str">
            <v>USO E CONSUMO</v>
          </cell>
          <cell r="K506">
            <v>8.19</v>
          </cell>
          <cell r="L506">
            <v>0</v>
          </cell>
        </row>
        <row r="507">
          <cell r="A507" t="str">
            <v>KI ANGELIM</v>
          </cell>
          <cell r="B507" t="str">
            <v>04/2025</v>
          </cell>
          <cell r="H507" t="str">
            <v>USO E CONSUMO</v>
          </cell>
          <cell r="K507">
            <v>8.19</v>
          </cell>
          <cell r="L507">
            <v>0</v>
          </cell>
        </row>
        <row r="508">
          <cell r="A508" t="str">
            <v>KI ANGELIM</v>
          </cell>
          <cell r="B508" t="str">
            <v>07/2025</v>
          </cell>
          <cell r="H508" t="str">
            <v>USO E CONSUMO</v>
          </cell>
          <cell r="K508">
            <v>8.16</v>
          </cell>
          <cell r="L508">
            <v>0.56999999999999995</v>
          </cell>
        </row>
        <row r="509">
          <cell r="A509" t="str">
            <v>KI ANGELIM</v>
          </cell>
          <cell r="B509" t="str">
            <v>07/2025</v>
          </cell>
          <cell r="H509" t="str">
            <v>USO E CONSUMO</v>
          </cell>
          <cell r="K509">
            <v>8.09</v>
          </cell>
          <cell r="L509">
            <v>0</v>
          </cell>
        </row>
        <row r="510">
          <cell r="A510" t="str">
            <v>KI ANGELIM</v>
          </cell>
          <cell r="B510" t="str">
            <v>07/2025</v>
          </cell>
          <cell r="H510" t="str">
            <v>USO E CONSUMO</v>
          </cell>
          <cell r="K510">
            <v>7.99</v>
          </cell>
          <cell r="L510">
            <v>0</v>
          </cell>
        </row>
        <row r="511">
          <cell r="A511" t="str">
            <v>KI ANGELIM</v>
          </cell>
          <cell r="B511" t="str">
            <v>04/2025</v>
          </cell>
          <cell r="H511" t="str">
            <v>USO E CONSUMO</v>
          </cell>
          <cell r="K511">
            <v>7.99</v>
          </cell>
          <cell r="L511">
            <v>1.6</v>
          </cell>
        </row>
        <row r="512">
          <cell r="A512" t="str">
            <v>KI ANGELIM</v>
          </cell>
          <cell r="B512" t="str">
            <v>09/2025</v>
          </cell>
          <cell r="H512" t="str">
            <v>USO E CONSUMO</v>
          </cell>
          <cell r="K512">
            <v>7.97</v>
          </cell>
          <cell r="L512">
            <v>0</v>
          </cell>
        </row>
        <row r="513">
          <cell r="A513" t="str">
            <v>KI ANGELIM</v>
          </cell>
          <cell r="B513" t="str">
            <v>04/2025</v>
          </cell>
          <cell r="H513" t="str">
            <v>USO E CONSUMO</v>
          </cell>
          <cell r="K513">
            <v>7.96</v>
          </cell>
          <cell r="L513">
            <v>1.59</v>
          </cell>
        </row>
        <row r="514">
          <cell r="A514" t="str">
            <v>KI ANGELIM</v>
          </cell>
          <cell r="B514" t="str">
            <v>04/2025</v>
          </cell>
          <cell r="H514" t="str">
            <v>USO E CONSUMO</v>
          </cell>
          <cell r="K514">
            <v>7.81</v>
          </cell>
          <cell r="L514">
            <v>0</v>
          </cell>
        </row>
        <row r="515">
          <cell r="A515" t="str">
            <v>KI ANGELIM</v>
          </cell>
          <cell r="B515" t="str">
            <v>07/2025</v>
          </cell>
          <cell r="H515" t="str">
            <v>USO E CONSUMO</v>
          </cell>
          <cell r="K515">
            <v>7.78</v>
          </cell>
          <cell r="L515">
            <v>0</v>
          </cell>
        </row>
        <row r="516">
          <cell r="A516" t="str">
            <v>KI ANGELIM</v>
          </cell>
          <cell r="B516" t="str">
            <v>05/2025</v>
          </cell>
          <cell r="H516" t="str">
            <v>USO E CONSUMO</v>
          </cell>
          <cell r="K516">
            <v>7.69</v>
          </cell>
          <cell r="L516">
            <v>0</v>
          </cell>
        </row>
        <row r="517">
          <cell r="A517" t="str">
            <v>KI ANGELIM</v>
          </cell>
          <cell r="B517" t="str">
            <v>09/2025</v>
          </cell>
          <cell r="H517" t="str">
            <v>USO E CONSUMO</v>
          </cell>
          <cell r="K517">
            <v>7.69</v>
          </cell>
          <cell r="L517">
            <v>0</v>
          </cell>
        </row>
        <row r="518">
          <cell r="A518" t="str">
            <v>KI ANGELIM</v>
          </cell>
          <cell r="B518" t="str">
            <v>09/2025</v>
          </cell>
          <cell r="H518" t="str">
            <v>USO E CONSUMO</v>
          </cell>
          <cell r="K518">
            <v>7.59</v>
          </cell>
          <cell r="L518">
            <v>0</v>
          </cell>
        </row>
        <row r="519">
          <cell r="A519" t="str">
            <v>KI ANGELIM</v>
          </cell>
          <cell r="B519" t="str">
            <v>04/2025</v>
          </cell>
          <cell r="H519" t="str">
            <v>USO E CONSUMO</v>
          </cell>
          <cell r="K519">
            <v>7.56</v>
          </cell>
          <cell r="L519">
            <v>0.53</v>
          </cell>
        </row>
        <row r="520">
          <cell r="A520" t="str">
            <v>KI ANGELIM</v>
          </cell>
          <cell r="B520" t="str">
            <v>07/2025</v>
          </cell>
          <cell r="H520" t="str">
            <v>USO E CONSUMO</v>
          </cell>
          <cell r="K520">
            <v>7.35</v>
          </cell>
          <cell r="L520">
            <v>0.51</v>
          </cell>
        </row>
        <row r="521">
          <cell r="A521" t="str">
            <v>KI ANGELIM</v>
          </cell>
          <cell r="B521" t="str">
            <v>04/2025</v>
          </cell>
          <cell r="H521" t="str">
            <v>USO E CONSUMO</v>
          </cell>
          <cell r="K521">
            <v>7.18</v>
          </cell>
          <cell r="L521">
            <v>0</v>
          </cell>
        </row>
        <row r="522">
          <cell r="A522" t="str">
            <v>KI ANGELIM</v>
          </cell>
          <cell r="B522" t="str">
            <v>09/2025</v>
          </cell>
          <cell r="H522" t="str">
            <v>USO E CONSUMO</v>
          </cell>
          <cell r="K522">
            <v>6.99</v>
          </cell>
          <cell r="L522">
            <v>0</v>
          </cell>
        </row>
        <row r="523">
          <cell r="A523" t="str">
            <v>KI ANGELIM</v>
          </cell>
          <cell r="B523" t="str">
            <v>09/2025</v>
          </cell>
          <cell r="H523" t="str">
            <v>USO E CONSUMO</v>
          </cell>
          <cell r="K523">
            <v>6.99</v>
          </cell>
          <cell r="L523">
            <v>0</v>
          </cell>
        </row>
        <row r="524">
          <cell r="A524" t="str">
            <v>KI ANGELIM</v>
          </cell>
          <cell r="B524" t="str">
            <v>09/2025</v>
          </cell>
          <cell r="H524" t="str">
            <v>USO E CONSUMO</v>
          </cell>
          <cell r="K524">
            <v>6.98</v>
          </cell>
          <cell r="L524">
            <v>1.4</v>
          </cell>
        </row>
        <row r="525">
          <cell r="A525" t="str">
            <v>KI ANGELIM</v>
          </cell>
          <cell r="B525" t="str">
            <v>09/2025</v>
          </cell>
          <cell r="H525" t="str">
            <v>USO E CONSUMO</v>
          </cell>
          <cell r="K525">
            <v>6.98</v>
          </cell>
          <cell r="L525">
            <v>0</v>
          </cell>
        </row>
        <row r="526">
          <cell r="A526" t="str">
            <v>KI ANGELIM</v>
          </cell>
          <cell r="B526" t="str">
            <v>09/2025</v>
          </cell>
          <cell r="H526" t="str">
            <v>USO E CONSUMO</v>
          </cell>
          <cell r="K526">
            <v>6.98</v>
          </cell>
          <cell r="L526">
            <v>0</v>
          </cell>
        </row>
        <row r="527">
          <cell r="A527" t="str">
            <v>KI ANGELIM</v>
          </cell>
          <cell r="B527" t="str">
            <v>05/2025</v>
          </cell>
          <cell r="H527" t="str">
            <v>USO E CONSUMO</v>
          </cell>
          <cell r="K527">
            <v>6.79</v>
          </cell>
          <cell r="L527">
            <v>0</v>
          </cell>
        </row>
        <row r="528">
          <cell r="A528" t="str">
            <v>KI ANGELIM</v>
          </cell>
          <cell r="B528" t="str">
            <v>07/2025</v>
          </cell>
          <cell r="H528" t="str">
            <v>USO E CONSUMO</v>
          </cell>
          <cell r="K528">
            <v>6.58</v>
          </cell>
          <cell r="L528">
            <v>0.46</v>
          </cell>
        </row>
        <row r="529">
          <cell r="A529" t="str">
            <v>KI ANGELIM</v>
          </cell>
          <cell r="B529" t="str">
            <v>09/2025</v>
          </cell>
          <cell r="H529" t="str">
            <v>USO E CONSUMO</v>
          </cell>
          <cell r="K529">
            <v>6.49</v>
          </cell>
          <cell r="L529">
            <v>1.3</v>
          </cell>
        </row>
        <row r="530">
          <cell r="A530" t="str">
            <v>KI ANGELIM</v>
          </cell>
          <cell r="B530" t="str">
            <v>04/2025</v>
          </cell>
          <cell r="H530" t="str">
            <v>USO E CONSUMO</v>
          </cell>
          <cell r="K530">
            <v>6.38</v>
          </cell>
          <cell r="L530">
            <v>1.28</v>
          </cell>
        </row>
        <row r="531">
          <cell r="A531" t="str">
            <v>KI ANGELIM</v>
          </cell>
          <cell r="B531" t="str">
            <v>05/2025</v>
          </cell>
          <cell r="H531" t="str">
            <v>USO E CONSUMO</v>
          </cell>
          <cell r="K531">
            <v>6.19</v>
          </cell>
          <cell r="L531">
            <v>1.24</v>
          </cell>
        </row>
        <row r="532">
          <cell r="A532" t="str">
            <v>KI ANGELIM</v>
          </cell>
          <cell r="B532" t="str">
            <v>07/2025</v>
          </cell>
          <cell r="H532" t="str">
            <v>USO E CONSUMO</v>
          </cell>
          <cell r="K532">
            <v>6.19</v>
          </cell>
          <cell r="L532">
            <v>0</v>
          </cell>
        </row>
        <row r="533">
          <cell r="A533" t="str">
            <v>KI ANGELIM</v>
          </cell>
          <cell r="B533" t="str">
            <v>07/2025</v>
          </cell>
          <cell r="H533" t="str">
            <v>USO E CONSUMO</v>
          </cell>
          <cell r="K533">
            <v>6.13</v>
          </cell>
          <cell r="L533">
            <v>0</v>
          </cell>
        </row>
        <row r="534">
          <cell r="A534" t="str">
            <v>KI ANGELIM</v>
          </cell>
          <cell r="B534" t="str">
            <v>09/2025</v>
          </cell>
          <cell r="H534" t="str">
            <v>USO E CONSUMO</v>
          </cell>
          <cell r="K534">
            <v>5.99</v>
          </cell>
          <cell r="L534">
            <v>1.2</v>
          </cell>
        </row>
        <row r="535">
          <cell r="A535" t="str">
            <v>KI ANGELIM</v>
          </cell>
          <cell r="B535" t="str">
            <v>09/2025</v>
          </cell>
          <cell r="H535" t="str">
            <v>USO E CONSUMO</v>
          </cell>
          <cell r="K535">
            <v>5.99</v>
          </cell>
          <cell r="L535">
            <v>0.42</v>
          </cell>
        </row>
        <row r="536">
          <cell r="A536" t="str">
            <v>KI ANGELIM</v>
          </cell>
          <cell r="B536" t="str">
            <v>06/2025</v>
          </cell>
          <cell r="H536" t="str">
            <v>USO E CONSUMO</v>
          </cell>
          <cell r="K536">
            <v>5.99</v>
          </cell>
          <cell r="L536">
            <v>1.2</v>
          </cell>
        </row>
        <row r="537">
          <cell r="A537" t="str">
            <v>KI ANGELIM</v>
          </cell>
          <cell r="B537" t="str">
            <v>09/2025</v>
          </cell>
          <cell r="H537" t="str">
            <v>USO E CONSUMO</v>
          </cell>
          <cell r="K537">
            <v>5.98</v>
          </cell>
          <cell r="L537">
            <v>1.2</v>
          </cell>
        </row>
        <row r="538">
          <cell r="A538" t="str">
            <v>KI ANGELIM</v>
          </cell>
          <cell r="B538" t="str">
            <v>04/2025</v>
          </cell>
          <cell r="H538" t="str">
            <v>USO E CONSUMO</v>
          </cell>
          <cell r="K538">
            <v>5.98</v>
          </cell>
          <cell r="L538">
            <v>1.2</v>
          </cell>
        </row>
        <row r="539">
          <cell r="A539" t="str">
            <v>KI ANGELIM</v>
          </cell>
          <cell r="B539" t="str">
            <v>09/2025</v>
          </cell>
          <cell r="H539" t="str">
            <v>USO E CONSUMO</v>
          </cell>
          <cell r="K539">
            <v>5.98</v>
          </cell>
          <cell r="L539">
            <v>0</v>
          </cell>
        </row>
        <row r="540">
          <cell r="A540" t="str">
            <v>KI ANGELIM</v>
          </cell>
          <cell r="B540" t="str">
            <v>05/2025</v>
          </cell>
          <cell r="H540" t="str">
            <v>USO E CONSUMO</v>
          </cell>
          <cell r="K540">
            <v>5.97</v>
          </cell>
          <cell r="L540">
            <v>0</v>
          </cell>
        </row>
        <row r="541">
          <cell r="A541" t="str">
            <v>KI ANGELIM</v>
          </cell>
          <cell r="B541" t="str">
            <v>07/2025</v>
          </cell>
          <cell r="H541" t="str">
            <v>USO E CONSUMO</v>
          </cell>
          <cell r="K541">
            <v>5.95</v>
          </cell>
          <cell r="L541">
            <v>1.19</v>
          </cell>
        </row>
        <row r="542">
          <cell r="A542" t="str">
            <v>KI ANGELIM</v>
          </cell>
          <cell r="B542" t="str">
            <v>07/2025</v>
          </cell>
          <cell r="H542" t="str">
            <v>USO E CONSUMO</v>
          </cell>
          <cell r="K542">
            <v>5.9</v>
          </cell>
          <cell r="L542">
            <v>1.18</v>
          </cell>
        </row>
        <row r="543">
          <cell r="A543" t="str">
            <v>KI ANGELIM</v>
          </cell>
          <cell r="B543" t="str">
            <v>05/2025</v>
          </cell>
          <cell r="H543" t="str">
            <v>USO E CONSUMO</v>
          </cell>
          <cell r="K543">
            <v>5.78</v>
          </cell>
          <cell r="L543">
            <v>0</v>
          </cell>
        </row>
        <row r="544">
          <cell r="A544" t="str">
            <v>KI ANGELIM</v>
          </cell>
          <cell r="B544" t="str">
            <v>06/2025</v>
          </cell>
          <cell r="H544" t="str">
            <v>USO E CONSUMO</v>
          </cell>
          <cell r="K544">
            <v>5.63</v>
          </cell>
          <cell r="L544">
            <v>0</v>
          </cell>
        </row>
        <row r="545">
          <cell r="A545" t="str">
            <v>KI ANGELIM</v>
          </cell>
          <cell r="B545" t="str">
            <v>05/2025</v>
          </cell>
          <cell r="H545" t="str">
            <v>USO E CONSUMO</v>
          </cell>
          <cell r="K545">
            <v>5.59</v>
          </cell>
          <cell r="L545">
            <v>1.1200000000000001</v>
          </cell>
        </row>
        <row r="546">
          <cell r="A546" t="str">
            <v>KI ANGELIM</v>
          </cell>
          <cell r="B546" t="str">
            <v>09/2025</v>
          </cell>
          <cell r="H546" t="str">
            <v>USO E CONSUMO</v>
          </cell>
          <cell r="K546">
            <v>5.59</v>
          </cell>
          <cell r="L546">
            <v>1.1200000000000001</v>
          </cell>
        </row>
        <row r="547">
          <cell r="A547" t="str">
            <v>KI ANGELIM</v>
          </cell>
          <cell r="B547" t="str">
            <v>04/2025</v>
          </cell>
          <cell r="H547" t="str">
            <v>USO E CONSUMO</v>
          </cell>
          <cell r="K547">
            <v>5.58</v>
          </cell>
          <cell r="L547">
            <v>0</v>
          </cell>
        </row>
        <row r="548">
          <cell r="A548" t="str">
            <v>KI ANGELIM</v>
          </cell>
          <cell r="B548" t="str">
            <v>04/2025</v>
          </cell>
          <cell r="H548" t="str">
            <v>USO E CONSUMO</v>
          </cell>
          <cell r="K548">
            <v>5.58</v>
          </cell>
          <cell r="L548">
            <v>0</v>
          </cell>
        </row>
        <row r="549">
          <cell r="A549" t="str">
            <v>KI ANGELIM</v>
          </cell>
          <cell r="B549" t="str">
            <v>07/2025</v>
          </cell>
          <cell r="H549" t="str">
            <v>USO E CONSUMO</v>
          </cell>
          <cell r="K549">
            <v>5.58</v>
          </cell>
          <cell r="L549">
            <v>0</v>
          </cell>
        </row>
        <row r="550">
          <cell r="A550" t="str">
            <v>KI ANGELIM</v>
          </cell>
          <cell r="B550" t="str">
            <v>07/2025</v>
          </cell>
          <cell r="H550" t="str">
            <v>USO E CONSUMO</v>
          </cell>
          <cell r="K550">
            <v>5.5</v>
          </cell>
          <cell r="L550">
            <v>0.38</v>
          </cell>
        </row>
        <row r="551">
          <cell r="A551" t="str">
            <v>KI ANGELIM</v>
          </cell>
          <cell r="B551" t="str">
            <v>09/2025</v>
          </cell>
          <cell r="H551" t="str">
            <v>USO E CONSUMO</v>
          </cell>
          <cell r="K551">
            <v>5.49</v>
          </cell>
          <cell r="L551">
            <v>1.1000000000000001</v>
          </cell>
        </row>
        <row r="552">
          <cell r="A552" t="str">
            <v>KI ANGELIM</v>
          </cell>
          <cell r="B552" t="str">
            <v>09/2025</v>
          </cell>
          <cell r="H552" t="str">
            <v>USO E CONSUMO</v>
          </cell>
          <cell r="K552">
            <v>5.18</v>
          </cell>
          <cell r="L552">
            <v>0.36</v>
          </cell>
        </row>
        <row r="553">
          <cell r="A553" t="str">
            <v>KI ANGELIM</v>
          </cell>
          <cell r="B553" t="str">
            <v>09/2025</v>
          </cell>
          <cell r="H553" t="str">
            <v>USO E CONSUMO</v>
          </cell>
          <cell r="K553">
            <v>5.18</v>
          </cell>
          <cell r="L553">
            <v>0.36</v>
          </cell>
        </row>
        <row r="554">
          <cell r="A554" t="str">
            <v>KI ANGELIM</v>
          </cell>
          <cell r="B554" t="str">
            <v>09/2025</v>
          </cell>
          <cell r="H554" t="str">
            <v>USO E CONSUMO</v>
          </cell>
          <cell r="K554">
            <v>5.18</v>
          </cell>
          <cell r="L554">
            <v>0.36</v>
          </cell>
        </row>
        <row r="555">
          <cell r="A555" t="str">
            <v>KI ANGELIM</v>
          </cell>
          <cell r="B555" t="str">
            <v>04/2025</v>
          </cell>
          <cell r="H555" t="str">
            <v>USO E CONSUMO</v>
          </cell>
          <cell r="K555">
            <v>4.99</v>
          </cell>
          <cell r="L555">
            <v>0</v>
          </cell>
        </row>
        <row r="556">
          <cell r="A556" t="str">
            <v>KI ANGELIM</v>
          </cell>
          <cell r="B556" t="str">
            <v>09/2025</v>
          </cell>
          <cell r="H556" t="str">
            <v>USO E CONSUMO</v>
          </cell>
          <cell r="K556">
            <v>4.99</v>
          </cell>
          <cell r="L556">
            <v>1</v>
          </cell>
        </row>
        <row r="557">
          <cell r="A557" t="str">
            <v>KI ANGELIM</v>
          </cell>
          <cell r="B557" t="str">
            <v>04/2025</v>
          </cell>
          <cell r="H557" t="str">
            <v>USO E CONSUMO</v>
          </cell>
          <cell r="K557">
            <v>4.95</v>
          </cell>
          <cell r="L557">
            <v>0.99</v>
          </cell>
        </row>
        <row r="558">
          <cell r="A558" t="str">
            <v>KI ANGELIM</v>
          </cell>
          <cell r="B558" t="str">
            <v>04/2025</v>
          </cell>
          <cell r="H558" t="str">
            <v>USO E CONSUMO</v>
          </cell>
          <cell r="K558">
            <v>4.8899999999999997</v>
          </cell>
          <cell r="L558">
            <v>0.98</v>
          </cell>
        </row>
        <row r="559">
          <cell r="A559" t="str">
            <v>KI ANGELIM</v>
          </cell>
          <cell r="B559" t="str">
            <v>04/2025</v>
          </cell>
          <cell r="H559" t="str">
            <v>USO E CONSUMO</v>
          </cell>
          <cell r="K559">
            <v>4.6900000000000004</v>
          </cell>
          <cell r="L559">
            <v>0.94</v>
          </cell>
        </row>
        <row r="560">
          <cell r="A560" t="str">
            <v>KI ANGELIM</v>
          </cell>
          <cell r="B560" t="str">
            <v>04/2025</v>
          </cell>
          <cell r="H560" t="str">
            <v>USO E CONSUMO</v>
          </cell>
          <cell r="K560">
            <v>4.59</v>
          </cell>
          <cell r="L560">
            <v>0</v>
          </cell>
        </row>
        <row r="561">
          <cell r="A561" t="str">
            <v>KI ANGELIM</v>
          </cell>
          <cell r="B561" t="str">
            <v>09/2025</v>
          </cell>
          <cell r="H561" t="str">
            <v>USO E CONSUMO</v>
          </cell>
          <cell r="K561">
            <v>4.49</v>
          </cell>
          <cell r="L561">
            <v>0</v>
          </cell>
        </row>
        <row r="562">
          <cell r="A562" t="str">
            <v>KI ANGELIM</v>
          </cell>
          <cell r="B562" t="str">
            <v>05/2025</v>
          </cell>
          <cell r="H562" t="str">
            <v>USO E CONSUMO</v>
          </cell>
          <cell r="K562">
            <v>4.49</v>
          </cell>
          <cell r="L562">
            <v>0</v>
          </cell>
        </row>
        <row r="563">
          <cell r="A563" t="str">
            <v>KI ANGELIM</v>
          </cell>
          <cell r="B563" t="str">
            <v>05/2025</v>
          </cell>
          <cell r="H563" t="str">
            <v>USO E CONSUMO</v>
          </cell>
          <cell r="K563">
            <v>4.3899999999999997</v>
          </cell>
          <cell r="L563">
            <v>0</v>
          </cell>
        </row>
        <row r="564">
          <cell r="A564" t="str">
            <v>KI ANGELIM</v>
          </cell>
          <cell r="B564" t="str">
            <v>04/2025</v>
          </cell>
          <cell r="H564" t="str">
            <v>USO E CONSUMO</v>
          </cell>
          <cell r="K564">
            <v>4.3899999999999997</v>
          </cell>
          <cell r="L564">
            <v>0</v>
          </cell>
        </row>
        <row r="565">
          <cell r="A565" t="str">
            <v>KI ANGELIM</v>
          </cell>
          <cell r="B565" t="str">
            <v>04/2025</v>
          </cell>
          <cell r="H565" t="str">
            <v>USO E CONSUMO</v>
          </cell>
          <cell r="K565">
            <v>4.29</v>
          </cell>
          <cell r="L565">
            <v>0</v>
          </cell>
        </row>
        <row r="566">
          <cell r="A566" t="str">
            <v>KI ANGELIM</v>
          </cell>
          <cell r="B566" t="str">
            <v>09/2025</v>
          </cell>
          <cell r="H566" t="str">
            <v>USO E CONSUMO</v>
          </cell>
          <cell r="K566">
            <v>4.29</v>
          </cell>
          <cell r="L566">
            <v>0</v>
          </cell>
        </row>
        <row r="567">
          <cell r="A567" t="str">
            <v>KI ANGELIM</v>
          </cell>
          <cell r="B567" t="str">
            <v>06/2025</v>
          </cell>
          <cell r="H567" t="str">
            <v>USO E CONSUMO</v>
          </cell>
          <cell r="K567">
            <v>4.22</v>
          </cell>
          <cell r="L567">
            <v>0</v>
          </cell>
        </row>
        <row r="568">
          <cell r="A568" t="str">
            <v>KI ANGELIM</v>
          </cell>
          <cell r="B568" t="str">
            <v>09/2025</v>
          </cell>
          <cell r="H568" t="str">
            <v>USO E CONSUMO</v>
          </cell>
          <cell r="K568">
            <v>4.1900000000000004</v>
          </cell>
          <cell r="L568">
            <v>0</v>
          </cell>
        </row>
        <row r="569">
          <cell r="A569" t="str">
            <v>KI ANGELIM</v>
          </cell>
          <cell r="B569" t="str">
            <v>07/2025</v>
          </cell>
          <cell r="H569" t="str">
            <v>USO E CONSUMO</v>
          </cell>
          <cell r="K569">
            <v>4.09</v>
          </cell>
          <cell r="L569">
            <v>0.28999999999999998</v>
          </cell>
        </row>
        <row r="570">
          <cell r="A570" t="str">
            <v>KI ANGELIM</v>
          </cell>
          <cell r="B570" t="str">
            <v>04/2025</v>
          </cell>
          <cell r="H570" t="str">
            <v>USO E CONSUMO</v>
          </cell>
          <cell r="K570">
            <v>4</v>
          </cell>
          <cell r="L570">
            <v>0</v>
          </cell>
        </row>
        <row r="571">
          <cell r="A571" t="str">
            <v>KI ANGELIM</v>
          </cell>
          <cell r="B571" t="str">
            <v>06/2025</v>
          </cell>
          <cell r="H571" t="str">
            <v>USO E CONSUMO</v>
          </cell>
          <cell r="K571">
            <v>3.99</v>
          </cell>
          <cell r="L571">
            <v>0</v>
          </cell>
        </row>
        <row r="572">
          <cell r="A572" t="str">
            <v>KI ANGELIM</v>
          </cell>
          <cell r="B572" t="str">
            <v>06/2025</v>
          </cell>
          <cell r="H572" t="str">
            <v>USO E CONSUMO</v>
          </cell>
          <cell r="K572">
            <v>3.99</v>
          </cell>
          <cell r="L572">
            <v>0</v>
          </cell>
        </row>
        <row r="573">
          <cell r="A573" t="str">
            <v>KI ANGELIM</v>
          </cell>
          <cell r="B573" t="str">
            <v>04/2025</v>
          </cell>
          <cell r="H573" t="str">
            <v>USO E CONSUMO</v>
          </cell>
          <cell r="K573">
            <v>3.99</v>
          </cell>
          <cell r="L573">
            <v>0.28000000000000003</v>
          </cell>
        </row>
        <row r="574">
          <cell r="A574" t="str">
            <v>KI ANGELIM</v>
          </cell>
          <cell r="B574" t="str">
            <v>05/2025</v>
          </cell>
          <cell r="H574" t="str">
            <v>USO E CONSUMO</v>
          </cell>
          <cell r="K574">
            <v>3.99</v>
          </cell>
          <cell r="L574">
            <v>0</v>
          </cell>
        </row>
        <row r="575">
          <cell r="A575" t="str">
            <v>KI ANGELIM</v>
          </cell>
          <cell r="B575" t="str">
            <v>04/2025</v>
          </cell>
          <cell r="H575" t="str">
            <v>USO E CONSUMO</v>
          </cell>
          <cell r="K575">
            <v>3.99</v>
          </cell>
          <cell r="L575">
            <v>0.28000000000000003</v>
          </cell>
        </row>
        <row r="576">
          <cell r="A576" t="str">
            <v>KI ANGELIM</v>
          </cell>
          <cell r="B576" t="str">
            <v>05/2025</v>
          </cell>
          <cell r="H576" t="str">
            <v>USO E CONSUMO</v>
          </cell>
          <cell r="K576">
            <v>3.98</v>
          </cell>
          <cell r="L576">
            <v>0</v>
          </cell>
        </row>
        <row r="577">
          <cell r="A577" t="str">
            <v>KI ANGELIM</v>
          </cell>
          <cell r="B577" t="str">
            <v>09/2025</v>
          </cell>
          <cell r="H577" t="str">
            <v>USO E CONSUMO</v>
          </cell>
          <cell r="K577">
            <v>3.89</v>
          </cell>
          <cell r="L577">
            <v>0</v>
          </cell>
        </row>
        <row r="578">
          <cell r="A578" t="str">
            <v>KI ANGELIM</v>
          </cell>
          <cell r="B578" t="str">
            <v>05/2025</v>
          </cell>
          <cell r="H578" t="str">
            <v>USO E CONSUMO</v>
          </cell>
          <cell r="K578">
            <v>3.58</v>
          </cell>
          <cell r="L578">
            <v>0</v>
          </cell>
        </row>
        <row r="579">
          <cell r="A579" t="str">
            <v>KI ANGELIM</v>
          </cell>
          <cell r="B579" t="str">
            <v>07/2025</v>
          </cell>
          <cell r="H579" t="str">
            <v>USO E CONSUMO</v>
          </cell>
          <cell r="K579">
            <v>3.49</v>
          </cell>
          <cell r="L579">
            <v>0.7</v>
          </cell>
        </row>
        <row r="580">
          <cell r="A580" t="str">
            <v>KI ANGELIM</v>
          </cell>
          <cell r="B580" t="str">
            <v>06/2025</v>
          </cell>
          <cell r="H580" t="str">
            <v>USO E CONSUMO</v>
          </cell>
          <cell r="K580">
            <v>3.29</v>
          </cell>
          <cell r="L580">
            <v>0</v>
          </cell>
        </row>
        <row r="581">
          <cell r="A581" t="str">
            <v>KI ANGELIM</v>
          </cell>
          <cell r="B581" t="str">
            <v>04/2025</v>
          </cell>
          <cell r="H581" t="str">
            <v>USO E CONSUMO</v>
          </cell>
          <cell r="K581">
            <v>3.09</v>
          </cell>
          <cell r="L581">
            <v>0.22</v>
          </cell>
        </row>
        <row r="582">
          <cell r="A582" t="str">
            <v>KI ANGELIM</v>
          </cell>
          <cell r="B582" t="str">
            <v>04/2025</v>
          </cell>
          <cell r="H582" t="str">
            <v>USO E CONSUMO</v>
          </cell>
          <cell r="K582">
            <v>2.99</v>
          </cell>
          <cell r="L582">
            <v>0.6</v>
          </cell>
        </row>
        <row r="583">
          <cell r="A583" t="str">
            <v>KI ANGELIM</v>
          </cell>
          <cell r="B583" t="str">
            <v>04/2025</v>
          </cell>
          <cell r="H583" t="str">
            <v>USO E CONSUMO</v>
          </cell>
          <cell r="K583">
            <v>2.99</v>
          </cell>
          <cell r="L583">
            <v>0</v>
          </cell>
        </row>
        <row r="584">
          <cell r="A584" t="str">
            <v>KI ANGELIM</v>
          </cell>
          <cell r="B584" t="str">
            <v>09/2025</v>
          </cell>
          <cell r="H584" t="str">
            <v>USO E CONSUMO</v>
          </cell>
          <cell r="K584">
            <v>2.98</v>
          </cell>
          <cell r="L584">
            <v>0.6</v>
          </cell>
        </row>
        <row r="585">
          <cell r="A585" t="str">
            <v>KI ANGELIM</v>
          </cell>
          <cell r="B585" t="str">
            <v>06/2025</v>
          </cell>
          <cell r="H585" t="str">
            <v>USO E CONSUMO</v>
          </cell>
          <cell r="K585">
            <v>2.94</v>
          </cell>
          <cell r="L585">
            <v>0</v>
          </cell>
        </row>
        <row r="586">
          <cell r="A586" t="str">
            <v>KI ANGELIM</v>
          </cell>
          <cell r="B586" t="str">
            <v>04/2025</v>
          </cell>
          <cell r="H586" t="str">
            <v>USO E CONSUMO</v>
          </cell>
          <cell r="K586">
            <v>2.79</v>
          </cell>
          <cell r="L586">
            <v>0</v>
          </cell>
        </row>
        <row r="587">
          <cell r="A587" t="str">
            <v>KI ANGELIM</v>
          </cell>
          <cell r="B587" t="str">
            <v>09/2025</v>
          </cell>
          <cell r="H587" t="str">
            <v>USO E CONSUMO</v>
          </cell>
          <cell r="K587">
            <v>2.79</v>
          </cell>
          <cell r="L587">
            <v>0.19</v>
          </cell>
        </row>
        <row r="588">
          <cell r="A588" t="str">
            <v>KI ANGELIM</v>
          </cell>
          <cell r="B588" t="str">
            <v>04/2025</v>
          </cell>
          <cell r="H588" t="str">
            <v>USO E CONSUMO</v>
          </cell>
          <cell r="K588">
            <v>2.78</v>
          </cell>
          <cell r="L588">
            <v>0</v>
          </cell>
        </row>
        <row r="589">
          <cell r="A589" t="str">
            <v>KI ANGELIM</v>
          </cell>
          <cell r="B589" t="str">
            <v>04/2025</v>
          </cell>
          <cell r="H589" t="str">
            <v>USO E CONSUMO</v>
          </cell>
          <cell r="K589">
            <v>2.78</v>
          </cell>
          <cell r="L589">
            <v>0</v>
          </cell>
        </row>
        <row r="590">
          <cell r="A590" t="str">
            <v>KI ANGELIM</v>
          </cell>
          <cell r="B590" t="str">
            <v>04/2025</v>
          </cell>
          <cell r="H590" t="str">
            <v>USO E CONSUMO</v>
          </cell>
          <cell r="K590">
            <v>2.75</v>
          </cell>
          <cell r="L590">
            <v>0</v>
          </cell>
        </row>
        <row r="591">
          <cell r="A591" t="str">
            <v>KI ANGELIM</v>
          </cell>
          <cell r="B591" t="str">
            <v>09/2025</v>
          </cell>
          <cell r="H591" t="str">
            <v>USO E CONSUMO</v>
          </cell>
          <cell r="K591">
            <v>2.59</v>
          </cell>
          <cell r="L591">
            <v>0.18</v>
          </cell>
        </row>
        <row r="592">
          <cell r="A592" t="str">
            <v>KI ANGELIM</v>
          </cell>
          <cell r="B592" t="str">
            <v>09/2025</v>
          </cell>
          <cell r="H592" t="str">
            <v>USO E CONSUMO</v>
          </cell>
          <cell r="K592">
            <v>2.4500000000000002</v>
          </cell>
          <cell r="L592">
            <v>0</v>
          </cell>
        </row>
        <row r="593">
          <cell r="A593" t="str">
            <v>KI ANGELIM</v>
          </cell>
          <cell r="B593" t="str">
            <v>07/2025</v>
          </cell>
          <cell r="H593" t="str">
            <v>USO E CONSUMO</v>
          </cell>
          <cell r="K593">
            <v>2.39</v>
          </cell>
          <cell r="L593">
            <v>0.17</v>
          </cell>
        </row>
        <row r="594">
          <cell r="A594" t="str">
            <v>KI ANGELIM</v>
          </cell>
          <cell r="B594" t="str">
            <v>05/2025</v>
          </cell>
          <cell r="H594" t="str">
            <v>USO E CONSUMO</v>
          </cell>
          <cell r="K594">
            <v>2.19</v>
          </cell>
          <cell r="L594">
            <v>0</v>
          </cell>
        </row>
        <row r="595">
          <cell r="A595" t="str">
            <v>KI ANGELIM</v>
          </cell>
          <cell r="B595" t="str">
            <v>07/2025</v>
          </cell>
          <cell r="H595" t="str">
            <v>USO E CONSUMO</v>
          </cell>
          <cell r="K595">
            <v>1.99</v>
          </cell>
          <cell r="L595">
            <v>0</v>
          </cell>
        </row>
        <row r="596">
          <cell r="A596" t="str">
            <v>KI ANGELIM</v>
          </cell>
          <cell r="B596" t="str">
            <v>04/2025</v>
          </cell>
          <cell r="H596" t="str">
            <v>USO E CONSUMO</v>
          </cell>
          <cell r="K596">
            <v>1.95</v>
          </cell>
          <cell r="L596">
            <v>0</v>
          </cell>
        </row>
        <row r="597">
          <cell r="A597" t="str">
            <v>KI ANGELIM</v>
          </cell>
          <cell r="B597" t="str">
            <v>09/2025</v>
          </cell>
          <cell r="H597" t="str">
            <v>USO E CONSUMO</v>
          </cell>
          <cell r="K597">
            <v>1.95</v>
          </cell>
          <cell r="L597">
            <v>0</v>
          </cell>
        </row>
        <row r="598">
          <cell r="A598" t="str">
            <v>KI ANGELIM</v>
          </cell>
          <cell r="B598" t="str">
            <v>05/2025</v>
          </cell>
          <cell r="H598" t="str">
            <v>USO E CONSUMO</v>
          </cell>
          <cell r="K598">
            <v>1.89</v>
          </cell>
          <cell r="L598">
            <v>0</v>
          </cell>
        </row>
        <row r="599">
          <cell r="A599" t="str">
            <v>KI ANGELIM</v>
          </cell>
          <cell r="B599" t="str">
            <v>05/2025</v>
          </cell>
          <cell r="H599" t="str">
            <v>USO E CONSUMO</v>
          </cell>
          <cell r="K599">
            <v>1.89</v>
          </cell>
          <cell r="L599">
            <v>0</v>
          </cell>
        </row>
        <row r="600">
          <cell r="A600" t="str">
            <v>KI ANGELIM</v>
          </cell>
          <cell r="B600" t="str">
            <v>05/2025</v>
          </cell>
          <cell r="H600" t="str">
            <v>USO E CONSUMO</v>
          </cell>
          <cell r="K600">
            <v>1.89</v>
          </cell>
          <cell r="L600">
            <v>0</v>
          </cell>
        </row>
        <row r="601">
          <cell r="A601" t="str">
            <v>KI ANGELIM</v>
          </cell>
          <cell r="B601" t="str">
            <v>05/2025</v>
          </cell>
          <cell r="H601" t="str">
            <v>USO E CONSUMO</v>
          </cell>
          <cell r="K601">
            <v>1.79</v>
          </cell>
          <cell r="L601">
            <v>0</v>
          </cell>
        </row>
        <row r="602">
          <cell r="A602" t="str">
            <v>KI ANGELIM</v>
          </cell>
          <cell r="B602" t="str">
            <v>09/2025</v>
          </cell>
          <cell r="H602" t="str">
            <v>USO E CONSUMO</v>
          </cell>
          <cell r="K602">
            <v>1.29</v>
          </cell>
          <cell r="L602">
            <v>0</v>
          </cell>
        </row>
        <row r="603">
          <cell r="A603" t="str">
            <v>KI ANGELIM</v>
          </cell>
          <cell r="B603" t="str">
            <v>04/2025</v>
          </cell>
          <cell r="H603" t="str">
            <v>USO E CONSUMO</v>
          </cell>
          <cell r="K603">
            <v>0.99</v>
          </cell>
          <cell r="L603">
            <v>7.0000000000000007E-2</v>
          </cell>
        </row>
        <row r="604">
          <cell r="A604" t="str">
            <v>KI ANGELIM</v>
          </cell>
          <cell r="B604" t="str">
            <v>05/2025</v>
          </cell>
          <cell r="H604" t="str">
            <v>USO E CONSUMO</v>
          </cell>
          <cell r="K604">
            <v>0.3</v>
          </cell>
          <cell r="L604">
            <v>0.06</v>
          </cell>
        </row>
        <row r="605">
          <cell r="A605" t="str">
            <v>KI ANGELIM</v>
          </cell>
          <cell r="B605" t="str">
            <v>04/2025</v>
          </cell>
          <cell r="H605" t="str">
            <v>USO E CONSUMO</v>
          </cell>
          <cell r="K605">
            <v>0.3</v>
          </cell>
          <cell r="L605">
            <v>0.06</v>
          </cell>
        </row>
        <row r="606">
          <cell r="A606" t="str">
            <v>MULTI MADEIRAS</v>
          </cell>
          <cell r="B606" t="str">
            <v>09/2025</v>
          </cell>
          <cell r="H606" t="str">
            <v>ATIVO OU DESPESA OPERACIONAL</v>
          </cell>
          <cell r="K606">
            <v>855.51</v>
          </cell>
          <cell r="L606">
            <v>0</v>
          </cell>
        </row>
        <row r="607">
          <cell r="A607" t="str">
            <v>MULTI MADEIRAS</v>
          </cell>
          <cell r="B607" t="str">
            <v>07/2025</v>
          </cell>
          <cell r="H607" t="str">
            <v>ATIVO OU DESPESA OPERACIONAL</v>
          </cell>
          <cell r="K607">
            <v>166.58</v>
          </cell>
          <cell r="L607">
            <v>21.29</v>
          </cell>
        </row>
        <row r="608">
          <cell r="A608" t="str">
            <v>MULTI MADEIRAS</v>
          </cell>
          <cell r="B608" t="str">
            <v>08/2025</v>
          </cell>
          <cell r="H608" t="str">
            <v>ATIVO OU DESPESA OPERACIONAL</v>
          </cell>
          <cell r="K608">
            <v>97.9</v>
          </cell>
          <cell r="L608">
            <v>0</v>
          </cell>
        </row>
        <row r="609">
          <cell r="A609" t="str">
            <v>MULTI MADEIRAS</v>
          </cell>
          <cell r="B609" t="str">
            <v>07/2025</v>
          </cell>
          <cell r="H609" t="str">
            <v>ATIVO OU DESPESA OPERACIONAL</v>
          </cell>
          <cell r="K609">
            <v>96.23</v>
          </cell>
          <cell r="L609">
            <v>12.3</v>
          </cell>
        </row>
        <row r="610">
          <cell r="A610" t="str">
            <v>MULTI MADEIRAS</v>
          </cell>
          <cell r="B610" t="str">
            <v>07/2025</v>
          </cell>
          <cell r="H610" t="str">
            <v>ATIVO OU DESPESA OPERACIONAL</v>
          </cell>
          <cell r="K610">
            <v>26.44</v>
          </cell>
          <cell r="L610">
            <v>3.65</v>
          </cell>
        </row>
        <row r="611">
          <cell r="A611" t="str">
            <v>MULTI MADEIRAS</v>
          </cell>
          <cell r="B611" t="str">
            <v>07/2025</v>
          </cell>
          <cell r="H611" t="str">
            <v>ATIVO OU DESPESA OPERACIONAL</v>
          </cell>
          <cell r="K611">
            <v>3</v>
          </cell>
          <cell r="L611">
            <v>0.36</v>
          </cell>
        </row>
        <row r="612">
          <cell r="A612" t="str">
            <v>MULTI MADEIRAS</v>
          </cell>
          <cell r="B612" t="str">
            <v>09/2025</v>
          </cell>
          <cell r="H612" t="str">
            <v>MADEIRA FUTURA FILIAL</v>
          </cell>
          <cell r="K612">
            <v>17645.599999999999</v>
          </cell>
          <cell r="L612">
            <v>2117.4699999999998</v>
          </cell>
        </row>
        <row r="613">
          <cell r="A613" t="str">
            <v>MULTI MADEIRAS</v>
          </cell>
          <cell r="B613" t="str">
            <v>06/2025</v>
          </cell>
          <cell r="H613" t="str">
            <v>MADEIRA FUTURA FILIAL</v>
          </cell>
          <cell r="K613">
            <v>14322</v>
          </cell>
          <cell r="L613">
            <v>1718.64</v>
          </cell>
        </row>
        <row r="614">
          <cell r="A614" t="str">
            <v>MULTI MADEIRAS</v>
          </cell>
          <cell r="B614" t="str">
            <v>09/2025</v>
          </cell>
          <cell r="H614" t="str">
            <v>MADEIRA FUTURA FILIAL</v>
          </cell>
          <cell r="K614">
            <v>12058.8</v>
          </cell>
          <cell r="L614">
            <v>1447.06</v>
          </cell>
        </row>
        <row r="615">
          <cell r="A615" t="str">
            <v>MULTI MADEIRAS</v>
          </cell>
          <cell r="B615" t="str">
            <v>04/2025</v>
          </cell>
          <cell r="H615" t="str">
            <v>MADEIRA FUTURA FILIAL</v>
          </cell>
          <cell r="K615">
            <v>10852.8</v>
          </cell>
          <cell r="L615">
            <v>1302.3399999999999</v>
          </cell>
        </row>
        <row r="616">
          <cell r="A616" t="str">
            <v>MULTI MADEIRAS</v>
          </cell>
          <cell r="B616" t="str">
            <v>06/2025</v>
          </cell>
          <cell r="H616" t="str">
            <v>MADEIRA FUTURA FILIAL</v>
          </cell>
          <cell r="K616">
            <v>10730.7</v>
          </cell>
          <cell r="L616">
            <v>1287.68</v>
          </cell>
        </row>
        <row r="617">
          <cell r="A617" t="str">
            <v>MULTI MADEIRAS</v>
          </cell>
          <cell r="B617" t="str">
            <v>09/2025</v>
          </cell>
          <cell r="H617" t="str">
            <v>MADEIRA FUTURA FILIAL</v>
          </cell>
          <cell r="K617">
            <v>9636</v>
          </cell>
          <cell r="L617">
            <v>1156.32</v>
          </cell>
        </row>
        <row r="618">
          <cell r="A618" t="str">
            <v>MULTI MADEIRAS</v>
          </cell>
          <cell r="B618" t="str">
            <v>09/2025</v>
          </cell>
          <cell r="H618" t="str">
            <v>MADEIRA FUTURA FILIAL</v>
          </cell>
          <cell r="K618">
            <v>9043.7999999999993</v>
          </cell>
          <cell r="L618">
            <v>1085.26</v>
          </cell>
        </row>
        <row r="619">
          <cell r="A619" t="str">
            <v>MULTI MADEIRAS</v>
          </cell>
          <cell r="B619" t="str">
            <v>08/2025</v>
          </cell>
          <cell r="H619" t="str">
            <v>MADEIRA FUTURA FILIAL</v>
          </cell>
          <cell r="K619">
            <v>8255.52</v>
          </cell>
          <cell r="L619">
            <v>990.66</v>
          </cell>
        </row>
        <row r="620">
          <cell r="A620" t="str">
            <v>MULTI MADEIRAS</v>
          </cell>
          <cell r="B620" t="str">
            <v>04/2025</v>
          </cell>
          <cell r="H620" t="str">
            <v>MADEIRA FUTURA FILIAL</v>
          </cell>
          <cell r="K620">
            <v>6782.85</v>
          </cell>
          <cell r="L620">
            <v>813.94</v>
          </cell>
        </row>
        <row r="621">
          <cell r="A621" t="str">
            <v>MULTI MADEIRAS</v>
          </cell>
          <cell r="B621" t="str">
            <v>05/2025</v>
          </cell>
          <cell r="H621" t="str">
            <v>MADEIRA FUTURA FILIAL</v>
          </cell>
          <cell r="K621">
            <v>6443.64</v>
          </cell>
          <cell r="L621">
            <v>773.24</v>
          </cell>
        </row>
        <row r="622">
          <cell r="A622" t="str">
            <v>MULTI MADEIRAS</v>
          </cell>
          <cell r="B622" t="str">
            <v>09/2025</v>
          </cell>
          <cell r="H622" t="str">
            <v>MADEIRA FUTURA FILIAL</v>
          </cell>
          <cell r="K622">
            <v>5436</v>
          </cell>
          <cell r="L622">
            <v>652.32000000000005</v>
          </cell>
        </row>
        <row r="623">
          <cell r="A623" t="str">
            <v>MULTI MADEIRAS</v>
          </cell>
          <cell r="B623" t="str">
            <v>09/2025</v>
          </cell>
          <cell r="H623" t="str">
            <v>MADEIRA FUTURA FILIAL</v>
          </cell>
          <cell r="K623">
            <v>5344.8</v>
          </cell>
          <cell r="L623">
            <v>641.38</v>
          </cell>
        </row>
        <row r="624">
          <cell r="A624" t="str">
            <v>MULTI MADEIRAS</v>
          </cell>
          <cell r="B624" t="str">
            <v>04/2025</v>
          </cell>
          <cell r="H624" t="str">
            <v>MADEIRA FUTURA FILIAL</v>
          </cell>
          <cell r="K624">
            <v>4866.8999999999996</v>
          </cell>
          <cell r="L624">
            <v>584.03</v>
          </cell>
        </row>
        <row r="625">
          <cell r="A625" t="str">
            <v>MULTI MADEIRAS</v>
          </cell>
          <cell r="B625" t="str">
            <v>04/2025</v>
          </cell>
          <cell r="H625" t="str">
            <v>MADEIRA FUTURA FILIAL</v>
          </cell>
          <cell r="K625">
            <v>4380</v>
          </cell>
          <cell r="L625">
            <v>525.6</v>
          </cell>
        </row>
        <row r="626">
          <cell r="A626" t="str">
            <v>MULTI MADEIRAS</v>
          </cell>
          <cell r="B626" t="str">
            <v>09/2025</v>
          </cell>
          <cell r="H626" t="str">
            <v>MADEIRA FUTURA FILIAL</v>
          </cell>
          <cell r="K626">
            <v>4336.2</v>
          </cell>
          <cell r="L626">
            <v>520.34</v>
          </cell>
        </row>
        <row r="627">
          <cell r="A627" t="str">
            <v>MULTI MADEIRAS</v>
          </cell>
          <cell r="B627" t="str">
            <v>06/2025</v>
          </cell>
          <cell r="H627" t="str">
            <v>MADEIRA FUTURA FILIAL</v>
          </cell>
          <cell r="K627">
            <v>4060</v>
          </cell>
          <cell r="L627">
            <v>487.2</v>
          </cell>
        </row>
        <row r="628">
          <cell r="A628" t="str">
            <v>MULTI MADEIRAS</v>
          </cell>
          <cell r="B628" t="str">
            <v>09/2025</v>
          </cell>
          <cell r="H628" t="str">
            <v>MADEIRA FUTURA FILIAL</v>
          </cell>
          <cell r="K628">
            <v>3927</v>
          </cell>
          <cell r="L628">
            <v>471.24</v>
          </cell>
        </row>
        <row r="629">
          <cell r="A629" t="str">
            <v>MULTI MADEIRAS</v>
          </cell>
          <cell r="B629" t="str">
            <v>06/2025</v>
          </cell>
          <cell r="H629" t="str">
            <v>MADEIRA FUTURA FILIAL</v>
          </cell>
          <cell r="K629">
            <v>3839.4</v>
          </cell>
          <cell r="L629">
            <v>460.73</v>
          </cell>
        </row>
        <row r="630">
          <cell r="A630" t="str">
            <v>MULTI MADEIRAS</v>
          </cell>
          <cell r="B630" t="str">
            <v>04/2025</v>
          </cell>
          <cell r="H630" t="str">
            <v>MADEIRA FUTURA FILIAL</v>
          </cell>
          <cell r="K630">
            <v>3647.1</v>
          </cell>
          <cell r="L630">
            <v>437.65</v>
          </cell>
        </row>
        <row r="631">
          <cell r="A631" t="str">
            <v>MULTI MADEIRAS</v>
          </cell>
          <cell r="B631" t="str">
            <v>09/2025</v>
          </cell>
          <cell r="H631" t="str">
            <v>MADEIRA FUTURA FILIAL</v>
          </cell>
          <cell r="K631">
            <v>3641.4</v>
          </cell>
          <cell r="L631">
            <v>436.97</v>
          </cell>
        </row>
        <row r="632">
          <cell r="A632" t="str">
            <v>MULTI MADEIRAS</v>
          </cell>
          <cell r="B632" t="str">
            <v>09/2025</v>
          </cell>
          <cell r="H632" t="str">
            <v>MADEIRA FUTURA FILIAL</v>
          </cell>
          <cell r="K632">
            <v>3613.5</v>
          </cell>
          <cell r="L632">
            <v>433.62</v>
          </cell>
        </row>
        <row r="633">
          <cell r="A633" t="str">
            <v>MULTI MADEIRAS</v>
          </cell>
          <cell r="B633" t="str">
            <v>09/2025</v>
          </cell>
          <cell r="H633" t="str">
            <v>MADEIRA FUTURA FILIAL</v>
          </cell>
          <cell r="K633">
            <v>3585.6</v>
          </cell>
          <cell r="L633">
            <v>430.27</v>
          </cell>
        </row>
        <row r="634">
          <cell r="A634" t="str">
            <v>MULTI MADEIRAS</v>
          </cell>
          <cell r="B634" t="str">
            <v>08/2025</v>
          </cell>
          <cell r="H634" t="str">
            <v>MADEIRA FUTURA FILIAL</v>
          </cell>
          <cell r="K634">
            <v>3388</v>
          </cell>
          <cell r="L634">
            <v>0</v>
          </cell>
        </row>
        <row r="635">
          <cell r="A635" t="str">
            <v>MULTI MADEIRAS</v>
          </cell>
          <cell r="B635" t="str">
            <v>04/2025</v>
          </cell>
          <cell r="H635" t="str">
            <v>MADEIRA FUTURA FILIAL</v>
          </cell>
          <cell r="K635">
            <v>3388</v>
          </cell>
          <cell r="L635">
            <v>0</v>
          </cell>
        </row>
        <row r="636">
          <cell r="A636" t="str">
            <v>MULTI MADEIRAS</v>
          </cell>
          <cell r="B636" t="str">
            <v>09/2025</v>
          </cell>
          <cell r="H636" t="str">
            <v>MADEIRA FUTURA FILIAL</v>
          </cell>
          <cell r="K636">
            <v>3363.9</v>
          </cell>
          <cell r="L636">
            <v>403.67</v>
          </cell>
        </row>
        <row r="637">
          <cell r="A637" t="str">
            <v>MULTI MADEIRAS</v>
          </cell>
          <cell r="B637" t="str">
            <v>09/2025</v>
          </cell>
          <cell r="H637" t="str">
            <v>MADEIRA FUTURA FILIAL</v>
          </cell>
          <cell r="K637">
            <v>3111.26</v>
          </cell>
          <cell r="L637">
            <v>373.35</v>
          </cell>
        </row>
        <row r="638">
          <cell r="A638" t="str">
            <v>MULTI MADEIRAS</v>
          </cell>
          <cell r="B638" t="str">
            <v>06/2025</v>
          </cell>
          <cell r="H638" t="str">
            <v>MADEIRA FUTURA FILIAL</v>
          </cell>
          <cell r="K638">
            <v>3087</v>
          </cell>
          <cell r="L638">
            <v>370.44</v>
          </cell>
        </row>
        <row r="639">
          <cell r="A639" t="str">
            <v>MULTI MADEIRAS</v>
          </cell>
          <cell r="B639" t="str">
            <v>05/2025</v>
          </cell>
          <cell r="H639" t="str">
            <v>MADEIRA FUTURA FILIAL</v>
          </cell>
          <cell r="K639">
            <v>3085.56</v>
          </cell>
          <cell r="L639">
            <v>370.27</v>
          </cell>
        </row>
        <row r="640">
          <cell r="A640" t="str">
            <v>MULTI MADEIRAS</v>
          </cell>
          <cell r="B640" t="str">
            <v>05/2025</v>
          </cell>
          <cell r="H640" t="str">
            <v>MADEIRA FUTURA FILIAL</v>
          </cell>
          <cell r="K640">
            <v>3085.56</v>
          </cell>
          <cell r="L640">
            <v>370.27</v>
          </cell>
        </row>
        <row r="641">
          <cell r="A641" t="str">
            <v>MULTI MADEIRAS</v>
          </cell>
          <cell r="B641" t="str">
            <v>08/2025</v>
          </cell>
          <cell r="H641" t="str">
            <v>MADEIRA FUTURA FILIAL</v>
          </cell>
          <cell r="K641">
            <v>3060</v>
          </cell>
          <cell r="L641">
            <v>0</v>
          </cell>
        </row>
        <row r="642">
          <cell r="A642" t="str">
            <v>MULTI MADEIRAS</v>
          </cell>
          <cell r="B642" t="str">
            <v>04/2025</v>
          </cell>
          <cell r="H642" t="str">
            <v>MADEIRA FUTURA FILIAL</v>
          </cell>
          <cell r="K642">
            <v>3014.7</v>
          </cell>
          <cell r="L642">
            <v>361.76</v>
          </cell>
        </row>
        <row r="643">
          <cell r="A643" t="str">
            <v>MULTI MADEIRAS</v>
          </cell>
          <cell r="B643" t="str">
            <v>06/2025</v>
          </cell>
          <cell r="H643" t="str">
            <v>MADEIRA FUTURA FILIAL</v>
          </cell>
          <cell r="K643">
            <v>2954.4</v>
          </cell>
          <cell r="L643">
            <v>354.53</v>
          </cell>
        </row>
        <row r="644">
          <cell r="A644" t="str">
            <v>MULTI MADEIRAS</v>
          </cell>
          <cell r="B644" t="str">
            <v>08/2025</v>
          </cell>
          <cell r="H644" t="str">
            <v>MADEIRA FUTURA FILIAL</v>
          </cell>
          <cell r="K644">
            <v>2846.4</v>
          </cell>
          <cell r="L644">
            <v>0</v>
          </cell>
        </row>
        <row r="645">
          <cell r="A645" t="str">
            <v>MULTI MADEIRAS</v>
          </cell>
          <cell r="B645" t="str">
            <v>04/2025</v>
          </cell>
          <cell r="H645" t="str">
            <v>MADEIRA FUTURA FILIAL</v>
          </cell>
          <cell r="K645">
            <v>2745.6</v>
          </cell>
          <cell r="L645">
            <v>329.47</v>
          </cell>
        </row>
        <row r="646">
          <cell r="A646" t="str">
            <v>MULTI MADEIRAS</v>
          </cell>
          <cell r="B646" t="str">
            <v>09/2025</v>
          </cell>
          <cell r="H646" t="str">
            <v>MADEIRA FUTURA FILIAL</v>
          </cell>
          <cell r="K646">
            <v>2718</v>
          </cell>
          <cell r="L646">
            <v>326.16000000000003</v>
          </cell>
        </row>
        <row r="647">
          <cell r="A647" t="str">
            <v>MULTI MADEIRAS</v>
          </cell>
          <cell r="B647" t="str">
            <v>06/2025</v>
          </cell>
          <cell r="H647" t="str">
            <v>MADEIRA FUTURA FILIAL</v>
          </cell>
          <cell r="K647">
            <v>2439.6</v>
          </cell>
          <cell r="L647">
            <v>0</v>
          </cell>
        </row>
        <row r="648">
          <cell r="A648" t="str">
            <v>MULTI MADEIRAS</v>
          </cell>
          <cell r="B648" t="str">
            <v>06/2025</v>
          </cell>
          <cell r="H648" t="str">
            <v>MADEIRA FUTURA FILIAL</v>
          </cell>
          <cell r="K648">
            <v>2304</v>
          </cell>
          <cell r="L648">
            <v>0</v>
          </cell>
        </row>
        <row r="649">
          <cell r="A649" t="str">
            <v>MULTI MADEIRAS</v>
          </cell>
          <cell r="B649" t="str">
            <v>07/2025</v>
          </cell>
          <cell r="H649" t="str">
            <v>MADEIRA FUTURA FILIAL</v>
          </cell>
          <cell r="K649">
            <v>2250</v>
          </cell>
          <cell r="L649">
            <v>0</v>
          </cell>
        </row>
        <row r="650">
          <cell r="A650" t="str">
            <v>MULTI MADEIRAS</v>
          </cell>
          <cell r="B650" t="str">
            <v>08/2025</v>
          </cell>
          <cell r="H650" t="str">
            <v>MADEIRA FUTURA FILIAL</v>
          </cell>
          <cell r="K650">
            <v>2168.39</v>
          </cell>
          <cell r="L650">
            <v>260.2</v>
          </cell>
        </row>
        <row r="651">
          <cell r="A651" t="str">
            <v>MULTI MADEIRAS</v>
          </cell>
          <cell r="B651" t="str">
            <v>09/2025</v>
          </cell>
          <cell r="H651" t="str">
            <v>MADEIRA FUTURA FILIAL</v>
          </cell>
          <cell r="K651">
            <v>1939.2</v>
          </cell>
          <cell r="L651">
            <v>232.7</v>
          </cell>
        </row>
        <row r="652">
          <cell r="A652" t="str">
            <v>MULTI MADEIRAS</v>
          </cell>
          <cell r="B652" t="str">
            <v>06/2025</v>
          </cell>
          <cell r="H652" t="str">
            <v>MADEIRA FUTURA FILIAL</v>
          </cell>
          <cell r="K652">
            <v>1848</v>
          </cell>
          <cell r="L652">
            <v>221.76</v>
          </cell>
        </row>
        <row r="653">
          <cell r="A653" t="str">
            <v>MULTI MADEIRAS</v>
          </cell>
          <cell r="B653" t="str">
            <v>07/2025</v>
          </cell>
          <cell r="H653" t="str">
            <v>MADEIRA FUTURA FILIAL</v>
          </cell>
          <cell r="K653">
            <v>1842.5</v>
          </cell>
          <cell r="L653">
            <v>0</v>
          </cell>
        </row>
        <row r="654">
          <cell r="A654" t="str">
            <v>MULTI MADEIRAS</v>
          </cell>
          <cell r="B654" t="str">
            <v>09/2025</v>
          </cell>
          <cell r="H654" t="str">
            <v>MADEIRA FUTURA FILIAL</v>
          </cell>
          <cell r="K654">
            <v>1806.75</v>
          </cell>
          <cell r="L654">
            <v>216.81</v>
          </cell>
        </row>
        <row r="655">
          <cell r="A655" t="str">
            <v>MULTI MADEIRAS</v>
          </cell>
          <cell r="B655" t="str">
            <v>08/2025</v>
          </cell>
          <cell r="H655" t="str">
            <v>MADEIRA FUTURA FILIAL</v>
          </cell>
          <cell r="K655">
            <v>1802.4</v>
          </cell>
          <cell r="L655">
            <v>0</v>
          </cell>
        </row>
        <row r="656">
          <cell r="A656" t="str">
            <v>MULTI MADEIRAS</v>
          </cell>
          <cell r="B656" t="str">
            <v>05/2025</v>
          </cell>
          <cell r="H656" t="str">
            <v>MADEIRA FUTURA FILIAL</v>
          </cell>
          <cell r="K656">
            <v>1760</v>
          </cell>
          <cell r="L656">
            <v>0</v>
          </cell>
        </row>
        <row r="657">
          <cell r="A657" t="str">
            <v>MULTI MADEIRAS</v>
          </cell>
          <cell r="B657" t="str">
            <v>04/2025</v>
          </cell>
          <cell r="H657" t="str">
            <v>MADEIRA FUTURA FILIAL</v>
          </cell>
          <cell r="K657">
            <v>1681.95</v>
          </cell>
          <cell r="L657">
            <v>201.83</v>
          </cell>
        </row>
        <row r="658">
          <cell r="A658" t="str">
            <v>MULTI MADEIRAS</v>
          </cell>
          <cell r="B658" t="str">
            <v>09/2025</v>
          </cell>
          <cell r="H658" t="str">
            <v>MADEIRA FUTURA FILIAL</v>
          </cell>
          <cell r="K658">
            <v>1665.52</v>
          </cell>
          <cell r="L658">
            <v>199.86</v>
          </cell>
        </row>
        <row r="659">
          <cell r="A659" t="str">
            <v>MULTI MADEIRAS</v>
          </cell>
          <cell r="B659" t="str">
            <v>08/2025</v>
          </cell>
          <cell r="H659" t="str">
            <v>MADEIRA FUTURA FILIAL</v>
          </cell>
          <cell r="K659">
            <v>1626.4</v>
          </cell>
          <cell r="L659">
            <v>0</v>
          </cell>
        </row>
        <row r="660">
          <cell r="A660" t="str">
            <v>MULTI MADEIRAS</v>
          </cell>
          <cell r="B660" t="str">
            <v>07/2025</v>
          </cell>
          <cell r="H660" t="str">
            <v>MADEIRA FUTURA FILIAL</v>
          </cell>
          <cell r="K660">
            <v>1417.5</v>
          </cell>
          <cell r="L660">
            <v>0</v>
          </cell>
        </row>
        <row r="661">
          <cell r="A661" t="str">
            <v>MULTI MADEIRAS</v>
          </cell>
          <cell r="B661" t="str">
            <v>09/2025</v>
          </cell>
          <cell r="H661" t="str">
            <v>MADEIRA FUTURA FILIAL</v>
          </cell>
          <cell r="K661">
            <v>1354.2</v>
          </cell>
          <cell r="L661">
            <v>162.5</v>
          </cell>
        </row>
        <row r="662">
          <cell r="A662" t="str">
            <v>MULTI MADEIRAS</v>
          </cell>
          <cell r="B662" t="str">
            <v>06/2025</v>
          </cell>
          <cell r="H662" t="str">
            <v>MADEIRA FUTURA FILIAL</v>
          </cell>
          <cell r="K662">
            <v>1340.4</v>
          </cell>
          <cell r="L662">
            <v>160.85</v>
          </cell>
        </row>
        <row r="663">
          <cell r="A663" t="str">
            <v>MULTI MADEIRAS</v>
          </cell>
          <cell r="B663" t="str">
            <v>09/2025</v>
          </cell>
          <cell r="H663" t="str">
            <v>MADEIRA FUTURA FILIAL</v>
          </cell>
          <cell r="K663">
            <v>1308.06</v>
          </cell>
          <cell r="L663">
            <v>156.97</v>
          </cell>
        </row>
        <row r="664">
          <cell r="A664" t="str">
            <v>MULTI MADEIRAS</v>
          </cell>
          <cell r="B664" t="str">
            <v>09/2025</v>
          </cell>
          <cell r="H664" t="str">
            <v>MADEIRA FUTURA FILIAL</v>
          </cell>
          <cell r="K664">
            <v>1242</v>
          </cell>
          <cell r="L664">
            <v>149.04</v>
          </cell>
        </row>
        <row r="665">
          <cell r="A665" t="str">
            <v>MULTI MADEIRAS</v>
          </cell>
          <cell r="B665" t="str">
            <v>06/2025</v>
          </cell>
          <cell r="H665" t="str">
            <v>MADEIRA FUTURA FILIAL</v>
          </cell>
          <cell r="K665">
            <v>1182.3599999999999</v>
          </cell>
          <cell r="L665">
            <v>0</v>
          </cell>
        </row>
        <row r="666">
          <cell r="A666" t="str">
            <v>MULTI MADEIRAS</v>
          </cell>
          <cell r="B666" t="str">
            <v>06/2025</v>
          </cell>
          <cell r="H666" t="str">
            <v>MADEIRA FUTURA FILIAL</v>
          </cell>
          <cell r="K666">
            <v>1162</v>
          </cell>
          <cell r="L666">
            <v>139.44</v>
          </cell>
        </row>
        <row r="667">
          <cell r="A667" t="str">
            <v>MULTI MADEIRAS</v>
          </cell>
          <cell r="B667" t="str">
            <v>08/2025</v>
          </cell>
          <cell r="H667" t="str">
            <v>MADEIRA FUTURA FILIAL</v>
          </cell>
          <cell r="K667">
            <v>1062.23</v>
          </cell>
          <cell r="L667">
            <v>127.47</v>
          </cell>
        </row>
        <row r="668">
          <cell r="A668" t="str">
            <v>MULTI MADEIRAS</v>
          </cell>
          <cell r="B668" t="str">
            <v>09/2025</v>
          </cell>
          <cell r="H668" t="str">
            <v>MADEIRA FUTURA FILIAL</v>
          </cell>
          <cell r="K668">
            <v>1036.8</v>
          </cell>
          <cell r="L668">
            <v>124.42</v>
          </cell>
        </row>
        <row r="669">
          <cell r="A669" t="str">
            <v>MULTI MADEIRAS</v>
          </cell>
          <cell r="B669" t="str">
            <v>09/2025</v>
          </cell>
          <cell r="H669" t="str">
            <v>MADEIRA FUTURA FILIAL</v>
          </cell>
          <cell r="K669">
            <v>1005</v>
          </cell>
          <cell r="L669">
            <v>0</v>
          </cell>
        </row>
        <row r="670">
          <cell r="A670" t="str">
            <v>MULTI MADEIRAS</v>
          </cell>
          <cell r="B670" t="str">
            <v>09/2025</v>
          </cell>
          <cell r="H670" t="str">
            <v>MADEIRA FUTURA FILIAL</v>
          </cell>
          <cell r="K670">
            <v>984</v>
          </cell>
          <cell r="L670">
            <v>0</v>
          </cell>
        </row>
        <row r="671">
          <cell r="A671" t="str">
            <v>MULTI MADEIRAS</v>
          </cell>
          <cell r="B671" t="str">
            <v>07/2025</v>
          </cell>
          <cell r="H671" t="str">
            <v>MADEIRA FUTURA FILIAL</v>
          </cell>
          <cell r="K671">
            <v>965</v>
          </cell>
          <cell r="L671">
            <v>0</v>
          </cell>
        </row>
        <row r="672">
          <cell r="A672" t="str">
            <v>MULTI MADEIRAS</v>
          </cell>
          <cell r="B672" t="str">
            <v>07/2025</v>
          </cell>
          <cell r="H672" t="str">
            <v>MADEIRA FUTURA FILIAL</v>
          </cell>
          <cell r="K672">
            <v>940</v>
          </cell>
          <cell r="L672">
            <v>0</v>
          </cell>
        </row>
        <row r="673">
          <cell r="A673" t="str">
            <v>MULTI MADEIRAS</v>
          </cell>
          <cell r="B673" t="str">
            <v>09/2025</v>
          </cell>
          <cell r="H673" t="str">
            <v>MADEIRA FUTURA FILIAL</v>
          </cell>
          <cell r="K673">
            <v>931.5</v>
          </cell>
          <cell r="L673">
            <v>111.78</v>
          </cell>
        </row>
        <row r="674">
          <cell r="A674" t="str">
            <v>MULTI MADEIRAS</v>
          </cell>
          <cell r="B674" t="str">
            <v>08/2025</v>
          </cell>
          <cell r="H674" t="str">
            <v>MADEIRA FUTURA FILIAL</v>
          </cell>
          <cell r="K674">
            <v>919.6</v>
          </cell>
          <cell r="L674">
            <v>0</v>
          </cell>
        </row>
        <row r="675">
          <cell r="A675" t="str">
            <v>MULTI MADEIRAS</v>
          </cell>
          <cell r="B675" t="str">
            <v>08/2025</v>
          </cell>
          <cell r="H675" t="str">
            <v>MADEIRA FUTURA FILIAL</v>
          </cell>
          <cell r="K675">
            <v>918</v>
          </cell>
          <cell r="L675">
            <v>0</v>
          </cell>
        </row>
        <row r="676">
          <cell r="A676" t="str">
            <v>MULTI MADEIRAS</v>
          </cell>
          <cell r="B676" t="str">
            <v>07/2025</v>
          </cell>
          <cell r="H676" t="str">
            <v>MADEIRA FUTURA FILIAL</v>
          </cell>
          <cell r="K676">
            <v>916.25</v>
          </cell>
          <cell r="L676">
            <v>0</v>
          </cell>
        </row>
        <row r="677">
          <cell r="A677" t="str">
            <v>MULTI MADEIRAS</v>
          </cell>
          <cell r="B677" t="str">
            <v>06/2025</v>
          </cell>
          <cell r="H677" t="str">
            <v>MADEIRA FUTURA FILIAL</v>
          </cell>
          <cell r="K677">
            <v>915</v>
          </cell>
          <cell r="L677">
            <v>0</v>
          </cell>
        </row>
        <row r="678">
          <cell r="A678" t="str">
            <v>MULTI MADEIRAS</v>
          </cell>
          <cell r="B678" t="str">
            <v>06/2025</v>
          </cell>
          <cell r="H678" t="str">
            <v>MADEIRA FUTURA FILIAL</v>
          </cell>
          <cell r="K678">
            <v>885.92</v>
          </cell>
          <cell r="L678">
            <v>111.45</v>
          </cell>
        </row>
        <row r="679">
          <cell r="A679" t="str">
            <v>MULTI MADEIRAS</v>
          </cell>
          <cell r="B679" t="str">
            <v>07/2025</v>
          </cell>
          <cell r="H679" t="str">
            <v>MADEIRA FUTURA FILIAL</v>
          </cell>
          <cell r="K679">
            <v>879</v>
          </cell>
          <cell r="L679">
            <v>0</v>
          </cell>
        </row>
        <row r="680">
          <cell r="A680" t="str">
            <v>MULTI MADEIRAS</v>
          </cell>
          <cell r="B680" t="str">
            <v>07/2025</v>
          </cell>
          <cell r="H680" t="str">
            <v>MADEIRA FUTURA FILIAL</v>
          </cell>
          <cell r="K680">
            <v>879</v>
          </cell>
          <cell r="L680">
            <v>0</v>
          </cell>
        </row>
        <row r="681">
          <cell r="A681" t="str">
            <v>MULTI MADEIRAS</v>
          </cell>
          <cell r="B681" t="str">
            <v>07/2025</v>
          </cell>
          <cell r="H681" t="str">
            <v>MADEIRA FUTURA FILIAL</v>
          </cell>
          <cell r="K681">
            <v>879</v>
          </cell>
          <cell r="L681">
            <v>0</v>
          </cell>
        </row>
        <row r="682">
          <cell r="A682" t="str">
            <v>MULTI MADEIRAS</v>
          </cell>
          <cell r="B682" t="str">
            <v>06/2025</v>
          </cell>
          <cell r="H682" t="str">
            <v>MADEIRA FUTURA FILIAL</v>
          </cell>
          <cell r="K682">
            <v>874.35</v>
          </cell>
          <cell r="L682">
            <v>0</v>
          </cell>
        </row>
        <row r="683">
          <cell r="A683" t="str">
            <v>MULTI MADEIRAS</v>
          </cell>
          <cell r="B683" t="str">
            <v>07/2025</v>
          </cell>
          <cell r="H683" t="str">
            <v>MADEIRA FUTURA FILIAL</v>
          </cell>
          <cell r="K683">
            <v>860.5</v>
          </cell>
          <cell r="L683">
            <v>0</v>
          </cell>
        </row>
        <row r="684">
          <cell r="A684" t="str">
            <v>MULTI MADEIRAS</v>
          </cell>
          <cell r="B684" t="str">
            <v>06/2025</v>
          </cell>
          <cell r="H684" t="str">
            <v>MADEIRA FUTURA FILIAL</v>
          </cell>
          <cell r="K684">
            <v>852.61</v>
          </cell>
          <cell r="L684">
            <v>0</v>
          </cell>
        </row>
        <row r="685">
          <cell r="A685" t="str">
            <v>MULTI MADEIRAS</v>
          </cell>
          <cell r="B685" t="str">
            <v>07/2025</v>
          </cell>
          <cell r="H685" t="str">
            <v>MADEIRA FUTURA FILIAL</v>
          </cell>
          <cell r="K685">
            <v>850.5</v>
          </cell>
          <cell r="L685">
            <v>0</v>
          </cell>
        </row>
        <row r="686">
          <cell r="A686" t="str">
            <v>MULTI MADEIRAS</v>
          </cell>
          <cell r="B686" t="str">
            <v>07/2025</v>
          </cell>
          <cell r="H686" t="str">
            <v>MADEIRA FUTURA FILIAL</v>
          </cell>
          <cell r="K686">
            <v>783.5</v>
          </cell>
          <cell r="L686">
            <v>0</v>
          </cell>
        </row>
        <row r="687">
          <cell r="A687" t="str">
            <v>MULTI MADEIRAS</v>
          </cell>
          <cell r="B687" t="str">
            <v>07/2025</v>
          </cell>
          <cell r="H687" t="str">
            <v>MADEIRA FUTURA FILIAL</v>
          </cell>
          <cell r="K687">
            <v>771.72</v>
          </cell>
          <cell r="L687">
            <v>94.92</v>
          </cell>
        </row>
        <row r="688">
          <cell r="A688" t="str">
            <v>MULTI MADEIRAS</v>
          </cell>
          <cell r="B688" t="str">
            <v>04/2025</v>
          </cell>
          <cell r="H688" t="str">
            <v>MADEIRA FUTURA FILIAL</v>
          </cell>
          <cell r="K688">
            <v>771.72</v>
          </cell>
          <cell r="L688">
            <v>92.61</v>
          </cell>
        </row>
        <row r="689">
          <cell r="A689" t="str">
            <v>MULTI MADEIRAS</v>
          </cell>
          <cell r="B689" t="str">
            <v>09/2025</v>
          </cell>
          <cell r="H689" t="str">
            <v>MADEIRA FUTURA FILIAL</v>
          </cell>
          <cell r="K689">
            <v>740.8</v>
          </cell>
          <cell r="L689">
            <v>88.9</v>
          </cell>
        </row>
        <row r="690">
          <cell r="A690" t="str">
            <v>MULTI MADEIRAS</v>
          </cell>
          <cell r="B690" t="str">
            <v>06/2025</v>
          </cell>
          <cell r="H690" t="str">
            <v>MADEIRA FUTURA FILIAL</v>
          </cell>
          <cell r="K690">
            <v>737</v>
          </cell>
          <cell r="L690">
            <v>0</v>
          </cell>
        </row>
        <row r="691">
          <cell r="A691" t="str">
            <v>MULTI MADEIRAS</v>
          </cell>
          <cell r="B691" t="str">
            <v>08/2025</v>
          </cell>
          <cell r="H691" t="str">
            <v>MADEIRA FUTURA FILIAL</v>
          </cell>
          <cell r="K691">
            <v>723.6</v>
          </cell>
          <cell r="L691">
            <v>0</v>
          </cell>
        </row>
        <row r="692">
          <cell r="A692" t="str">
            <v>MULTI MADEIRAS</v>
          </cell>
          <cell r="B692" t="str">
            <v>07/2025</v>
          </cell>
          <cell r="H692" t="str">
            <v>MADEIRA FUTURA FILIAL</v>
          </cell>
          <cell r="K692">
            <v>723</v>
          </cell>
          <cell r="L692">
            <v>0</v>
          </cell>
        </row>
        <row r="693">
          <cell r="A693" t="str">
            <v>MULTI MADEIRAS</v>
          </cell>
          <cell r="B693" t="str">
            <v>09/2025</v>
          </cell>
          <cell r="H693" t="str">
            <v>MADEIRA FUTURA FILIAL</v>
          </cell>
          <cell r="K693">
            <v>703.5</v>
          </cell>
          <cell r="L693">
            <v>0</v>
          </cell>
        </row>
        <row r="694">
          <cell r="A694" t="str">
            <v>MULTI MADEIRAS</v>
          </cell>
          <cell r="B694" t="str">
            <v>05/2025</v>
          </cell>
          <cell r="H694" t="str">
            <v>MADEIRA FUTURA FILIAL</v>
          </cell>
          <cell r="K694">
            <v>692.55</v>
          </cell>
          <cell r="L694">
            <v>83.11</v>
          </cell>
        </row>
        <row r="695">
          <cell r="A695" t="str">
            <v>MULTI MADEIRAS</v>
          </cell>
          <cell r="B695" t="str">
            <v>08/2025</v>
          </cell>
          <cell r="H695" t="str">
            <v>MADEIRA FUTURA FILIAL</v>
          </cell>
          <cell r="K695">
            <v>688.5</v>
          </cell>
          <cell r="L695">
            <v>0</v>
          </cell>
        </row>
        <row r="696">
          <cell r="A696" t="str">
            <v>MULTI MADEIRAS</v>
          </cell>
          <cell r="B696" t="str">
            <v>06/2025</v>
          </cell>
          <cell r="H696" t="str">
            <v>MADEIRA FUTURA FILIAL</v>
          </cell>
          <cell r="K696">
            <v>663</v>
          </cell>
          <cell r="L696">
            <v>0</v>
          </cell>
        </row>
        <row r="697">
          <cell r="A697" t="str">
            <v>MULTI MADEIRAS</v>
          </cell>
          <cell r="B697" t="str">
            <v>08/2025</v>
          </cell>
          <cell r="H697" t="str">
            <v>MADEIRA FUTURA FILIAL</v>
          </cell>
          <cell r="K697">
            <v>626.4</v>
          </cell>
          <cell r="L697">
            <v>0</v>
          </cell>
        </row>
        <row r="698">
          <cell r="A698" t="str">
            <v>MULTI MADEIRAS</v>
          </cell>
          <cell r="B698" t="str">
            <v>09/2025</v>
          </cell>
          <cell r="H698" t="str">
            <v>MADEIRA FUTURA FILIAL</v>
          </cell>
          <cell r="K698">
            <v>621</v>
          </cell>
          <cell r="L698">
            <v>74.52</v>
          </cell>
        </row>
        <row r="699">
          <cell r="A699" t="str">
            <v>MULTI MADEIRAS</v>
          </cell>
          <cell r="B699" t="str">
            <v>05/2025</v>
          </cell>
          <cell r="H699" t="str">
            <v>MADEIRA FUTURA FILIAL</v>
          </cell>
          <cell r="K699">
            <v>612</v>
          </cell>
          <cell r="L699">
            <v>73.44</v>
          </cell>
        </row>
        <row r="700">
          <cell r="A700" t="str">
            <v>MULTI MADEIRAS</v>
          </cell>
          <cell r="B700" t="str">
            <v>07/2025</v>
          </cell>
          <cell r="H700" t="str">
            <v>MADEIRA FUTURA FILIAL</v>
          </cell>
          <cell r="K700">
            <v>594</v>
          </cell>
          <cell r="L700">
            <v>0</v>
          </cell>
        </row>
        <row r="701">
          <cell r="A701" t="str">
            <v>MULTI MADEIRAS</v>
          </cell>
          <cell r="B701" t="str">
            <v>07/2025</v>
          </cell>
          <cell r="H701" t="str">
            <v>MADEIRA FUTURA FILIAL</v>
          </cell>
          <cell r="K701">
            <v>594</v>
          </cell>
          <cell r="L701">
            <v>0</v>
          </cell>
        </row>
        <row r="702">
          <cell r="A702" t="str">
            <v>MULTI MADEIRAS</v>
          </cell>
          <cell r="B702" t="str">
            <v>07/2025</v>
          </cell>
          <cell r="H702" t="str">
            <v>MADEIRA FUTURA FILIAL</v>
          </cell>
          <cell r="K702">
            <v>594</v>
          </cell>
          <cell r="L702">
            <v>0</v>
          </cell>
        </row>
        <row r="703">
          <cell r="A703" t="str">
            <v>MULTI MADEIRAS</v>
          </cell>
          <cell r="B703" t="str">
            <v>08/2025</v>
          </cell>
          <cell r="H703" t="str">
            <v>MADEIRA FUTURA FILIAL</v>
          </cell>
          <cell r="K703">
            <v>582.54999999999995</v>
          </cell>
          <cell r="L703">
            <v>69.91</v>
          </cell>
        </row>
        <row r="704">
          <cell r="A704" t="str">
            <v>MULTI MADEIRAS</v>
          </cell>
          <cell r="B704" t="str">
            <v>07/2025</v>
          </cell>
          <cell r="H704" t="str">
            <v>MADEIRA FUTURA FILIAL</v>
          </cell>
          <cell r="K704">
            <v>579</v>
          </cell>
          <cell r="L704">
            <v>0</v>
          </cell>
        </row>
        <row r="705">
          <cell r="A705" t="str">
            <v>MULTI MADEIRAS</v>
          </cell>
          <cell r="B705" t="str">
            <v>07/2025</v>
          </cell>
          <cell r="H705" t="str">
            <v>MADEIRA FUTURA FILIAL</v>
          </cell>
          <cell r="K705">
            <v>565.5</v>
          </cell>
          <cell r="L705">
            <v>0</v>
          </cell>
        </row>
        <row r="706">
          <cell r="A706" t="str">
            <v>MULTI MADEIRAS</v>
          </cell>
          <cell r="B706" t="str">
            <v>07/2025</v>
          </cell>
          <cell r="H706" t="str">
            <v>MADEIRA FUTURA FILIAL</v>
          </cell>
          <cell r="K706">
            <v>565.5</v>
          </cell>
          <cell r="L706">
            <v>0</v>
          </cell>
        </row>
        <row r="707">
          <cell r="A707" t="str">
            <v>MULTI MADEIRAS</v>
          </cell>
          <cell r="B707" t="str">
            <v>07/2025</v>
          </cell>
          <cell r="H707" t="str">
            <v>MADEIRA FUTURA FILIAL</v>
          </cell>
          <cell r="K707">
            <v>565.5</v>
          </cell>
          <cell r="L707">
            <v>0</v>
          </cell>
        </row>
        <row r="708">
          <cell r="A708" t="str">
            <v>MULTI MADEIRAS</v>
          </cell>
          <cell r="B708" t="str">
            <v>07/2025</v>
          </cell>
          <cell r="H708" t="str">
            <v>MADEIRA FUTURA FILIAL</v>
          </cell>
          <cell r="K708">
            <v>564</v>
          </cell>
          <cell r="L708">
            <v>0</v>
          </cell>
        </row>
        <row r="709">
          <cell r="A709" t="str">
            <v>MULTI MADEIRAS</v>
          </cell>
          <cell r="B709" t="str">
            <v>07/2025</v>
          </cell>
          <cell r="H709" t="str">
            <v>MADEIRA FUTURA FILIAL</v>
          </cell>
          <cell r="K709">
            <v>558</v>
          </cell>
          <cell r="L709">
            <v>0</v>
          </cell>
        </row>
        <row r="710">
          <cell r="A710" t="str">
            <v>MULTI MADEIRAS</v>
          </cell>
          <cell r="B710" t="str">
            <v>07/2025</v>
          </cell>
          <cell r="H710" t="str">
            <v>MADEIRA FUTURA FILIAL</v>
          </cell>
          <cell r="K710">
            <v>558</v>
          </cell>
          <cell r="L710">
            <v>0</v>
          </cell>
        </row>
        <row r="711">
          <cell r="A711" t="str">
            <v>MULTI MADEIRAS</v>
          </cell>
          <cell r="B711" t="str">
            <v>07/2025</v>
          </cell>
          <cell r="H711" t="str">
            <v>MADEIRA FUTURA FILIAL</v>
          </cell>
          <cell r="K711">
            <v>558</v>
          </cell>
          <cell r="L711">
            <v>0</v>
          </cell>
        </row>
        <row r="712">
          <cell r="A712" t="str">
            <v>MULTI MADEIRAS</v>
          </cell>
          <cell r="B712" t="str">
            <v>04/2025</v>
          </cell>
          <cell r="H712" t="str">
            <v>MADEIRA FUTURA FILIAL</v>
          </cell>
          <cell r="K712">
            <v>556.79999999999995</v>
          </cell>
          <cell r="L712">
            <v>0</v>
          </cell>
        </row>
        <row r="713">
          <cell r="A713" t="str">
            <v>MULTI MADEIRAS</v>
          </cell>
          <cell r="B713" t="str">
            <v>07/2025</v>
          </cell>
          <cell r="H713" t="str">
            <v>MADEIRA FUTURA FILIAL</v>
          </cell>
          <cell r="K713">
            <v>549.75</v>
          </cell>
          <cell r="L713">
            <v>0</v>
          </cell>
        </row>
        <row r="714">
          <cell r="A714" t="str">
            <v>MULTI MADEIRAS</v>
          </cell>
          <cell r="B714" t="str">
            <v>06/2025</v>
          </cell>
          <cell r="H714" t="str">
            <v>MADEIRA FUTURA FILIAL</v>
          </cell>
          <cell r="K714">
            <v>532.80999999999995</v>
          </cell>
          <cell r="L714">
            <v>0</v>
          </cell>
        </row>
        <row r="715">
          <cell r="A715" t="str">
            <v>MULTI MADEIRAS</v>
          </cell>
          <cell r="B715" t="str">
            <v>04/2025</v>
          </cell>
          <cell r="H715" t="str">
            <v>MADEIRA FUTURA FILIAL</v>
          </cell>
          <cell r="K715">
            <v>417.6</v>
          </cell>
          <cell r="L715">
            <v>0</v>
          </cell>
        </row>
        <row r="716">
          <cell r="A716" t="str">
            <v>MULTI MADEIRAS</v>
          </cell>
          <cell r="B716" t="str">
            <v>06/2025</v>
          </cell>
          <cell r="H716" t="str">
            <v>MADEIRA FUTURA FILIAL</v>
          </cell>
          <cell r="K716">
            <v>406.98</v>
          </cell>
          <cell r="L716">
            <v>0</v>
          </cell>
        </row>
        <row r="717">
          <cell r="A717" t="str">
            <v>MULTI MADEIRAS</v>
          </cell>
          <cell r="B717" t="str">
            <v>09/2025</v>
          </cell>
          <cell r="H717" t="str">
            <v>MADEIRA FUTURA FILIAL</v>
          </cell>
          <cell r="K717">
            <v>402</v>
          </cell>
          <cell r="L717">
            <v>0</v>
          </cell>
        </row>
        <row r="718">
          <cell r="A718" t="str">
            <v>MULTI MADEIRAS</v>
          </cell>
          <cell r="B718" t="str">
            <v>08/2025</v>
          </cell>
          <cell r="H718" t="str">
            <v>MADEIRA FUTURA FILIAL</v>
          </cell>
          <cell r="K718">
            <v>387.2</v>
          </cell>
          <cell r="L718">
            <v>0</v>
          </cell>
        </row>
        <row r="719">
          <cell r="A719" t="str">
            <v>MULTI MADEIRAS</v>
          </cell>
          <cell r="B719" t="str">
            <v>06/2025</v>
          </cell>
          <cell r="H719" t="str">
            <v>MADEIRA FUTURA FILIAL</v>
          </cell>
          <cell r="K719">
            <v>384.54</v>
          </cell>
          <cell r="L719">
            <v>0</v>
          </cell>
        </row>
        <row r="720">
          <cell r="A720" t="str">
            <v>MULTI MADEIRAS</v>
          </cell>
          <cell r="B720" t="str">
            <v>07/2025</v>
          </cell>
          <cell r="H720" t="str">
            <v>MADEIRA FUTURA FILIAL</v>
          </cell>
          <cell r="K720">
            <v>383.18</v>
          </cell>
          <cell r="L720">
            <v>15.33</v>
          </cell>
        </row>
        <row r="721">
          <cell r="A721" t="str">
            <v>MULTI MADEIRAS</v>
          </cell>
          <cell r="B721" t="str">
            <v>06/2025</v>
          </cell>
          <cell r="H721" t="str">
            <v>MADEIRA FUTURA FILIAL</v>
          </cell>
          <cell r="K721">
            <v>365.67</v>
          </cell>
          <cell r="L721">
            <v>0</v>
          </cell>
        </row>
        <row r="722">
          <cell r="A722" t="str">
            <v>MULTI MADEIRAS</v>
          </cell>
          <cell r="B722" t="str">
            <v>07/2025</v>
          </cell>
          <cell r="H722" t="str">
            <v>MADEIRA FUTURA FILIAL</v>
          </cell>
          <cell r="K722">
            <v>355.76</v>
          </cell>
          <cell r="L722">
            <v>0</v>
          </cell>
        </row>
        <row r="723">
          <cell r="A723" t="str">
            <v>MULTI MADEIRAS</v>
          </cell>
          <cell r="B723" t="str">
            <v>07/2025</v>
          </cell>
          <cell r="H723" t="str">
            <v>MADEIRA FUTURA FILIAL</v>
          </cell>
          <cell r="K723">
            <v>352.68</v>
          </cell>
          <cell r="L723">
            <v>43.38</v>
          </cell>
        </row>
        <row r="724">
          <cell r="A724" t="str">
            <v>MULTI MADEIRAS</v>
          </cell>
          <cell r="B724" t="str">
            <v>04/2025</v>
          </cell>
          <cell r="H724" t="str">
            <v>MADEIRA FUTURA FILIAL</v>
          </cell>
          <cell r="K724">
            <v>352.68</v>
          </cell>
          <cell r="L724">
            <v>42.32</v>
          </cell>
        </row>
        <row r="725">
          <cell r="A725" t="str">
            <v>MULTI MADEIRAS</v>
          </cell>
          <cell r="B725" t="str">
            <v>04/2025</v>
          </cell>
          <cell r="H725" t="str">
            <v>MADEIRA FUTURA FILIAL</v>
          </cell>
          <cell r="K725">
            <v>346.14</v>
          </cell>
          <cell r="L725">
            <v>41.54</v>
          </cell>
        </row>
        <row r="726">
          <cell r="A726" t="str">
            <v>MULTI MADEIRAS</v>
          </cell>
          <cell r="B726" t="str">
            <v>07/2025</v>
          </cell>
          <cell r="H726" t="str">
            <v>MADEIRA FUTURA FILIAL</v>
          </cell>
          <cell r="K726">
            <v>342.96</v>
          </cell>
          <cell r="L726">
            <v>42.18</v>
          </cell>
        </row>
        <row r="727">
          <cell r="A727" t="str">
            <v>MULTI MADEIRAS</v>
          </cell>
          <cell r="B727" t="str">
            <v>09/2025</v>
          </cell>
          <cell r="H727" t="str">
            <v>MADEIRA FUTURA FILIAL</v>
          </cell>
          <cell r="K727">
            <v>336</v>
          </cell>
          <cell r="L727">
            <v>40.32</v>
          </cell>
        </row>
        <row r="728">
          <cell r="A728" t="str">
            <v>MULTI MADEIRAS</v>
          </cell>
          <cell r="B728" t="str">
            <v>04/2025</v>
          </cell>
          <cell r="H728" t="str">
            <v>MADEIRA FUTURA FILIAL</v>
          </cell>
          <cell r="K728">
            <v>300</v>
          </cell>
          <cell r="L728">
            <v>37.17</v>
          </cell>
        </row>
        <row r="729">
          <cell r="A729" t="str">
            <v>MULTI MADEIRAS</v>
          </cell>
          <cell r="B729" t="str">
            <v>08/2025</v>
          </cell>
          <cell r="H729" t="str">
            <v>MADEIRA FUTURA FILIAL</v>
          </cell>
          <cell r="K729">
            <v>297.38</v>
          </cell>
          <cell r="L729">
            <v>35.69</v>
          </cell>
        </row>
        <row r="730">
          <cell r="A730" t="str">
            <v>MULTI MADEIRAS</v>
          </cell>
          <cell r="B730" t="str">
            <v>06/2025</v>
          </cell>
          <cell r="H730" t="str">
            <v>MADEIRA FUTURA FILIAL</v>
          </cell>
          <cell r="K730">
            <v>285.08999999999997</v>
          </cell>
          <cell r="L730">
            <v>0</v>
          </cell>
        </row>
        <row r="731">
          <cell r="A731" t="str">
            <v>MULTI MADEIRAS</v>
          </cell>
          <cell r="B731" t="str">
            <v>06/2025</v>
          </cell>
          <cell r="H731" t="str">
            <v>MADEIRA FUTURA FILIAL</v>
          </cell>
          <cell r="K731">
            <v>283.17</v>
          </cell>
          <cell r="L731">
            <v>0</v>
          </cell>
        </row>
        <row r="732">
          <cell r="A732" t="str">
            <v>MULTI MADEIRAS</v>
          </cell>
          <cell r="B732" t="str">
            <v>06/2025</v>
          </cell>
          <cell r="H732" t="str">
            <v>MADEIRA FUTURA FILIAL</v>
          </cell>
          <cell r="K732">
            <v>281.52</v>
          </cell>
          <cell r="L732">
            <v>0</v>
          </cell>
        </row>
        <row r="733">
          <cell r="A733" t="str">
            <v>MULTI MADEIRAS</v>
          </cell>
          <cell r="B733" t="str">
            <v>06/2025</v>
          </cell>
          <cell r="H733" t="str">
            <v>MADEIRA FUTURA FILIAL</v>
          </cell>
          <cell r="K733">
            <v>278.39999999999998</v>
          </cell>
          <cell r="L733">
            <v>0</v>
          </cell>
        </row>
        <row r="734">
          <cell r="A734" t="str">
            <v>MULTI MADEIRAS</v>
          </cell>
          <cell r="B734" t="str">
            <v>07/2025</v>
          </cell>
          <cell r="H734" t="str">
            <v>MADEIRA FUTURA FILIAL</v>
          </cell>
          <cell r="K734">
            <v>276.17</v>
          </cell>
          <cell r="L734">
            <v>11.05</v>
          </cell>
        </row>
        <row r="735">
          <cell r="A735" t="str">
            <v>MULTI MADEIRAS</v>
          </cell>
          <cell r="B735" t="str">
            <v>08/2025</v>
          </cell>
          <cell r="H735" t="str">
            <v>MADEIRA FUTURA FILIAL</v>
          </cell>
          <cell r="K735">
            <v>267.75</v>
          </cell>
          <cell r="L735">
            <v>32.130000000000003</v>
          </cell>
        </row>
        <row r="736">
          <cell r="A736" t="str">
            <v>MULTI MADEIRAS</v>
          </cell>
          <cell r="B736" t="str">
            <v>08/2025</v>
          </cell>
          <cell r="H736" t="str">
            <v>MADEIRA FUTURA FILIAL</v>
          </cell>
          <cell r="K736">
            <v>267.75</v>
          </cell>
          <cell r="L736">
            <v>32.130000000000003</v>
          </cell>
        </row>
        <row r="737">
          <cell r="A737" t="str">
            <v>MULTI MADEIRAS</v>
          </cell>
          <cell r="B737" t="str">
            <v>08/2025</v>
          </cell>
          <cell r="H737" t="str">
            <v>MADEIRA FUTURA FILIAL</v>
          </cell>
          <cell r="K737">
            <v>262.27999999999997</v>
          </cell>
          <cell r="L737">
            <v>31.47</v>
          </cell>
        </row>
        <row r="738">
          <cell r="A738" t="str">
            <v>MULTI MADEIRAS</v>
          </cell>
          <cell r="B738" t="str">
            <v>06/2025</v>
          </cell>
          <cell r="H738" t="str">
            <v>MADEIRA FUTURA FILIAL</v>
          </cell>
          <cell r="K738">
            <v>244.8</v>
          </cell>
          <cell r="L738">
            <v>0</v>
          </cell>
        </row>
        <row r="739">
          <cell r="A739" t="str">
            <v>MULTI MADEIRAS</v>
          </cell>
          <cell r="B739" t="str">
            <v>07/2025</v>
          </cell>
          <cell r="H739" t="str">
            <v>MADEIRA FUTURA FILIAL</v>
          </cell>
          <cell r="K739">
            <v>243.98</v>
          </cell>
          <cell r="L739">
            <v>9.76</v>
          </cell>
        </row>
        <row r="740">
          <cell r="A740" t="str">
            <v>MULTI MADEIRAS</v>
          </cell>
          <cell r="B740" t="str">
            <v>06/2025</v>
          </cell>
          <cell r="H740" t="str">
            <v>MADEIRA FUTURA FILIAL</v>
          </cell>
          <cell r="K740">
            <v>233</v>
          </cell>
          <cell r="L740">
            <v>0</v>
          </cell>
        </row>
        <row r="741">
          <cell r="A741" t="str">
            <v>MULTI MADEIRAS</v>
          </cell>
          <cell r="B741" t="str">
            <v>06/2025</v>
          </cell>
          <cell r="H741" t="str">
            <v>MADEIRA FUTURA FILIAL</v>
          </cell>
          <cell r="K741">
            <v>222.36</v>
          </cell>
          <cell r="L741">
            <v>0</v>
          </cell>
        </row>
        <row r="742">
          <cell r="A742" t="str">
            <v>MULTI MADEIRAS</v>
          </cell>
          <cell r="B742" t="str">
            <v>07/2025</v>
          </cell>
          <cell r="H742" t="str">
            <v>MADEIRA FUTURA FILIAL</v>
          </cell>
          <cell r="K742">
            <v>220.96</v>
          </cell>
          <cell r="L742">
            <v>8.84</v>
          </cell>
        </row>
        <row r="743">
          <cell r="A743" t="str">
            <v>MULTI MADEIRAS</v>
          </cell>
          <cell r="B743" t="str">
            <v>07/2025</v>
          </cell>
          <cell r="H743" t="str">
            <v>MADEIRA FUTURA FILIAL</v>
          </cell>
          <cell r="K743">
            <v>216.41</v>
          </cell>
          <cell r="L743">
            <v>8.66</v>
          </cell>
        </row>
        <row r="744">
          <cell r="A744" t="str">
            <v>MULTI MADEIRAS</v>
          </cell>
          <cell r="B744" t="str">
            <v>06/2025</v>
          </cell>
          <cell r="H744" t="str">
            <v>MADEIRA FUTURA FILIAL</v>
          </cell>
          <cell r="K744">
            <v>212.89</v>
          </cell>
          <cell r="L744">
            <v>0</v>
          </cell>
        </row>
        <row r="745">
          <cell r="A745" t="str">
            <v>MULTI MADEIRAS</v>
          </cell>
          <cell r="B745" t="str">
            <v>06/2025</v>
          </cell>
          <cell r="H745" t="str">
            <v>MADEIRA FUTURA FILIAL</v>
          </cell>
          <cell r="K745">
            <v>204.17</v>
          </cell>
          <cell r="L745">
            <v>0</v>
          </cell>
        </row>
        <row r="746">
          <cell r="A746" t="str">
            <v>MULTI MADEIRAS</v>
          </cell>
          <cell r="B746" t="str">
            <v>06/2025</v>
          </cell>
          <cell r="H746" t="str">
            <v>MADEIRA FUTURA FILIAL</v>
          </cell>
          <cell r="K746">
            <v>193.6</v>
          </cell>
          <cell r="L746">
            <v>0</v>
          </cell>
        </row>
        <row r="747">
          <cell r="A747" t="str">
            <v>MULTI MADEIRAS</v>
          </cell>
          <cell r="B747" t="str">
            <v>07/2025</v>
          </cell>
          <cell r="H747" t="str">
            <v>MADEIRA FUTURA FILIAL</v>
          </cell>
          <cell r="K747">
            <v>183.5</v>
          </cell>
          <cell r="L747">
            <v>0</v>
          </cell>
        </row>
        <row r="748">
          <cell r="A748" t="str">
            <v>MULTI MADEIRAS</v>
          </cell>
          <cell r="B748" t="str">
            <v>07/2025</v>
          </cell>
          <cell r="H748" t="str">
            <v>MADEIRA FUTURA FILIAL</v>
          </cell>
          <cell r="K748">
            <v>183.5</v>
          </cell>
          <cell r="L748">
            <v>0</v>
          </cell>
        </row>
        <row r="749">
          <cell r="A749" t="str">
            <v>MULTI MADEIRAS</v>
          </cell>
          <cell r="B749" t="str">
            <v>07/2025</v>
          </cell>
          <cell r="H749" t="str">
            <v>MADEIRA FUTURA FILIAL</v>
          </cell>
          <cell r="K749">
            <v>183.5</v>
          </cell>
          <cell r="L749">
            <v>0</v>
          </cell>
        </row>
        <row r="750">
          <cell r="A750" t="str">
            <v>MULTI MADEIRAS</v>
          </cell>
          <cell r="B750" t="str">
            <v>07/2025</v>
          </cell>
          <cell r="H750" t="str">
            <v>MADEIRA FUTURA FILIAL</v>
          </cell>
          <cell r="K750">
            <v>177.88</v>
          </cell>
          <cell r="L750">
            <v>0</v>
          </cell>
        </row>
        <row r="751">
          <cell r="A751" t="str">
            <v>MULTI MADEIRAS</v>
          </cell>
          <cell r="B751" t="str">
            <v>06/2025</v>
          </cell>
          <cell r="H751" t="str">
            <v>MADEIRA FUTURA FILIAL</v>
          </cell>
          <cell r="K751">
            <v>172</v>
          </cell>
          <cell r="L751">
            <v>20.64</v>
          </cell>
        </row>
        <row r="752">
          <cell r="A752" t="str">
            <v>MULTI MADEIRAS</v>
          </cell>
          <cell r="B752" t="str">
            <v>07/2025</v>
          </cell>
          <cell r="H752" t="str">
            <v>MADEIRA FUTURA FILIAL</v>
          </cell>
          <cell r="K752">
            <v>164.33</v>
          </cell>
          <cell r="L752">
            <v>6.57</v>
          </cell>
        </row>
        <row r="753">
          <cell r="A753" t="str">
            <v>MULTI MADEIRAS</v>
          </cell>
          <cell r="B753" t="str">
            <v>07/2025</v>
          </cell>
          <cell r="H753" t="str">
            <v>MADEIRA FUTURA FILIAL</v>
          </cell>
          <cell r="K753">
            <v>158.94999999999999</v>
          </cell>
          <cell r="L753">
            <v>6.36</v>
          </cell>
        </row>
        <row r="754">
          <cell r="A754" t="str">
            <v>MULTI MADEIRAS</v>
          </cell>
          <cell r="B754" t="str">
            <v>09/2025</v>
          </cell>
          <cell r="H754" t="str">
            <v>MADEIRA FUTURA FILIAL</v>
          </cell>
          <cell r="K754">
            <v>157.5</v>
          </cell>
          <cell r="L754">
            <v>0</v>
          </cell>
        </row>
        <row r="755">
          <cell r="A755" t="str">
            <v>MULTI MADEIRAS</v>
          </cell>
          <cell r="B755" t="str">
            <v>07/2025</v>
          </cell>
          <cell r="H755" t="str">
            <v>MADEIRA FUTURA FILIAL</v>
          </cell>
          <cell r="K755">
            <v>152.29</v>
          </cell>
          <cell r="L755">
            <v>6.09</v>
          </cell>
        </row>
        <row r="756">
          <cell r="A756" t="str">
            <v>MULTI MADEIRAS</v>
          </cell>
          <cell r="B756" t="str">
            <v>07/2025</v>
          </cell>
          <cell r="H756" t="str">
            <v>MADEIRA FUTURA FILIAL</v>
          </cell>
          <cell r="K756">
            <v>150.59</v>
          </cell>
          <cell r="L756">
            <v>6.02</v>
          </cell>
        </row>
        <row r="757">
          <cell r="A757" t="str">
            <v>MULTI MADEIRAS</v>
          </cell>
          <cell r="B757" t="str">
            <v>07/2025</v>
          </cell>
          <cell r="H757" t="str">
            <v>MADEIRA FUTURA FILIAL</v>
          </cell>
          <cell r="K757">
            <v>137.94</v>
          </cell>
          <cell r="L757">
            <v>5.52</v>
          </cell>
        </row>
        <row r="758">
          <cell r="A758" t="str">
            <v>MULTI MADEIRAS</v>
          </cell>
          <cell r="B758" t="str">
            <v>06/2025</v>
          </cell>
          <cell r="H758" t="str">
            <v>MADEIRA FUTURA FILIAL</v>
          </cell>
          <cell r="K758">
            <v>119.44</v>
          </cell>
          <cell r="L758">
            <v>0</v>
          </cell>
        </row>
        <row r="759">
          <cell r="A759" t="str">
            <v>MULTI MADEIRAS</v>
          </cell>
          <cell r="B759" t="str">
            <v>06/2025</v>
          </cell>
          <cell r="H759" t="str">
            <v>MADEIRA FUTURA FILIAL</v>
          </cell>
          <cell r="K759">
            <v>85.68</v>
          </cell>
          <cell r="L759">
            <v>0</v>
          </cell>
        </row>
        <row r="760">
          <cell r="A760" t="str">
            <v>MULTI MADEIRAS</v>
          </cell>
          <cell r="B760" t="str">
            <v>07/2025</v>
          </cell>
          <cell r="H760" t="str">
            <v>MADEIRA FUTURA FILIAL</v>
          </cell>
          <cell r="K760">
            <v>81.09</v>
          </cell>
          <cell r="L760">
            <v>3.24</v>
          </cell>
        </row>
        <row r="761">
          <cell r="A761" t="str">
            <v>MULTI MADEIRAS</v>
          </cell>
          <cell r="B761" t="str">
            <v>07/2025</v>
          </cell>
          <cell r="H761" t="str">
            <v>MADEIRA FUTURA FILIAL</v>
          </cell>
          <cell r="K761">
            <v>68.3</v>
          </cell>
          <cell r="L761">
            <v>2.73</v>
          </cell>
        </row>
        <row r="762">
          <cell r="A762" t="str">
            <v>MULTI MADEIRAS</v>
          </cell>
          <cell r="B762" t="str">
            <v>05/2025</v>
          </cell>
          <cell r="H762" t="str">
            <v>MADEIRA FUTURA FILIAL</v>
          </cell>
          <cell r="K762">
            <v>68.16</v>
          </cell>
          <cell r="L762">
            <v>8.41</v>
          </cell>
        </row>
        <row r="763">
          <cell r="A763" t="str">
            <v>MULTI MADEIRAS</v>
          </cell>
          <cell r="B763" t="str">
            <v>07/2025</v>
          </cell>
          <cell r="H763" t="str">
            <v>MADEIRA FUTURA FILIAL</v>
          </cell>
          <cell r="K763">
            <v>60.5</v>
          </cell>
          <cell r="L763">
            <v>2.42</v>
          </cell>
        </row>
        <row r="764">
          <cell r="A764" t="str">
            <v>MULTI MADEIRAS</v>
          </cell>
          <cell r="B764" t="str">
            <v>07/2025</v>
          </cell>
          <cell r="H764" t="str">
            <v>MADEIRA FUTURA FILIAL</v>
          </cell>
          <cell r="K764">
            <v>44.25</v>
          </cell>
          <cell r="L764">
            <v>1.77</v>
          </cell>
        </row>
        <row r="765">
          <cell r="A765" t="str">
            <v>MULTI MADEIRAS</v>
          </cell>
          <cell r="B765" t="str">
            <v>07/2025</v>
          </cell>
          <cell r="H765" t="str">
            <v>MADEIRA FUTURA FILIAL</v>
          </cell>
          <cell r="K765">
            <v>42.33</v>
          </cell>
          <cell r="L765">
            <v>1.69</v>
          </cell>
        </row>
        <row r="766">
          <cell r="A766" t="str">
            <v>MULTI MADEIRAS</v>
          </cell>
          <cell r="B766" t="str">
            <v>07/2025</v>
          </cell>
          <cell r="H766" t="str">
            <v>MADEIRA FUTURA FILIAL</v>
          </cell>
          <cell r="K766">
            <v>35.39</v>
          </cell>
          <cell r="L766">
            <v>1.42</v>
          </cell>
        </row>
        <row r="767">
          <cell r="A767" t="str">
            <v>MULTI MADEIRAS</v>
          </cell>
          <cell r="B767" t="str">
            <v>07/2025</v>
          </cell>
          <cell r="H767" t="str">
            <v>MADEIRA FUTURA FILIAL</v>
          </cell>
          <cell r="K767">
            <v>34.61</v>
          </cell>
          <cell r="L767">
            <v>1.38</v>
          </cell>
        </row>
        <row r="768">
          <cell r="A768" t="str">
            <v>MULTI MADEIRAS</v>
          </cell>
          <cell r="B768" t="str">
            <v>07/2025</v>
          </cell>
          <cell r="H768" t="str">
            <v>MADEIRA FUTURA FILIAL</v>
          </cell>
          <cell r="K768">
            <v>34.31</v>
          </cell>
          <cell r="L768">
            <v>1.37</v>
          </cell>
        </row>
        <row r="769">
          <cell r="A769" t="str">
            <v>MULTI MADEIRAS</v>
          </cell>
          <cell r="B769" t="str">
            <v>07/2025</v>
          </cell>
          <cell r="H769" t="str">
            <v>MADEIRA FUTURA FILIAL</v>
          </cell>
          <cell r="K769">
            <v>32.46</v>
          </cell>
          <cell r="L769">
            <v>1.3</v>
          </cell>
        </row>
        <row r="770">
          <cell r="A770" t="str">
            <v>MULTI MADEIRAS</v>
          </cell>
          <cell r="B770" t="str">
            <v>07/2025</v>
          </cell>
          <cell r="H770" t="str">
            <v>MADEIRA FUTURA FILIAL</v>
          </cell>
          <cell r="K770">
            <v>27.53</v>
          </cell>
          <cell r="L770">
            <v>1.1000000000000001</v>
          </cell>
        </row>
        <row r="771">
          <cell r="A771" t="str">
            <v>MULTI MADEIRAS</v>
          </cell>
          <cell r="B771" t="str">
            <v>07/2025</v>
          </cell>
          <cell r="H771" t="str">
            <v>MADEIRA FUTURA FILIAL</v>
          </cell>
          <cell r="K771">
            <v>12.05</v>
          </cell>
          <cell r="L771">
            <v>0.48</v>
          </cell>
        </row>
        <row r="772">
          <cell r="A772" t="str">
            <v>MULTI MADEIRAS</v>
          </cell>
          <cell r="B772" t="str">
            <v>07/2025</v>
          </cell>
          <cell r="H772" t="str">
            <v>MADEIRA FUTURA FILIAL</v>
          </cell>
          <cell r="K772">
            <v>11.25</v>
          </cell>
          <cell r="L772">
            <v>0.45</v>
          </cell>
        </row>
        <row r="773">
          <cell r="A773" t="str">
            <v>MULTI MADEIRAS</v>
          </cell>
          <cell r="B773" t="str">
            <v>04/2025</v>
          </cell>
          <cell r="H773" t="str">
            <v>MADEIRA FUTURA FILIAL</v>
          </cell>
          <cell r="K773">
            <v>9.01</v>
          </cell>
          <cell r="L773">
            <v>0.36</v>
          </cell>
        </row>
        <row r="774">
          <cell r="A774" t="str">
            <v>MULTI MADEIRAS</v>
          </cell>
          <cell r="B774" t="str">
            <v>07/2025</v>
          </cell>
          <cell r="H774" t="str">
            <v>MANUTENCAO INTERNA</v>
          </cell>
          <cell r="K774">
            <v>855.51</v>
          </cell>
          <cell r="L774">
            <v>102.66</v>
          </cell>
        </row>
        <row r="775">
          <cell r="A775" t="str">
            <v>MULTI MADEIRAS</v>
          </cell>
          <cell r="B775" t="str">
            <v>04/2025</v>
          </cell>
          <cell r="H775" t="str">
            <v>MANUTENCAO INTERNA</v>
          </cell>
          <cell r="K775">
            <v>653.24</v>
          </cell>
          <cell r="L775">
            <v>26.13</v>
          </cell>
        </row>
        <row r="776">
          <cell r="A776" t="str">
            <v>MULTI MADEIRAS</v>
          </cell>
          <cell r="B776" t="str">
            <v>07/2025</v>
          </cell>
          <cell r="H776" t="str">
            <v>MANUTENCAO INTERNA</v>
          </cell>
          <cell r="K776">
            <v>606</v>
          </cell>
          <cell r="L776">
            <v>72.72</v>
          </cell>
        </row>
        <row r="777">
          <cell r="A777" t="str">
            <v>MULTI MADEIRAS</v>
          </cell>
          <cell r="B777" t="str">
            <v>04/2025</v>
          </cell>
          <cell r="H777" t="str">
            <v>MANUTENCAO INTERNA</v>
          </cell>
          <cell r="K777">
            <v>279.97000000000003</v>
          </cell>
          <cell r="L777">
            <v>11.2</v>
          </cell>
        </row>
        <row r="778">
          <cell r="A778" t="str">
            <v>MULTI MADEIRAS</v>
          </cell>
          <cell r="B778" t="str">
            <v>04/2025</v>
          </cell>
          <cell r="H778" t="str">
            <v>MANUTENCAO INTERNA</v>
          </cell>
          <cell r="K778">
            <v>268.04000000000002</v>
          </cell>
          <cell r="L778">
            <v>10.72</v>
          </cell>
        </row>
        <row r="779">
          <cell r="A779" t="str">
            <v>MULTI MADEIRAS</v>
          </cell>
          <cell r="B779" t="str">
            <v>09/2025</v>
          </cell>
          <cell r="H779" t="str">
            <v>MANUTENCAO INTERNA</v>
          </cell>
          <cell r="K779">
            <v>224.79</v>
          </cell>
          <cell r="L779">
            <v>8.99</v>
          </cell>
        </row>
        <row r="780">
          <cell r="A780" t="str">
            <v>MULTI MADEIRAS</v>
          </cell>
          <cell r="B780" t="str">
            <v>07/2025</v>
          </cell>
          <cell r="H780" t="str">
            <v>MANUTENCAO INTERNA</v>
          </cell>
          <cell r="K780">
            <v>110</v>
          </cell>
          <cell r="L780">
            <v>4.4000000000000004</v>
          </cell>
        </row>
        <row r="781">
          <cell r="A781" t="str">
            <v>MULTI MADEIRAS</v>
          </cell>
          <cell r="B781" t="str">
            <v>08/2025</v>
          </cell>
          <cell r="H781" t="str">
            <v>MANUTENCAO INTERNA</v>
          </cell>
          <cell r="K781">
            <v>37.880000000000003</v>
          </cell>
          <cell r="L781">
            <v>4.5599999999999996</v>
          </cell>
        </row>
        <row r="782">
          <cell r="A782" t="str">
            <v>MULTI MADEIRAS</v>
          </cell>
          <cell r="B782" t="str">
            <v>08/2025</v>
          </cell>
          <cell r="H782" t="str">
            <v>MANUTENCAO INTERNA</v>
          </cell>
          <cell r="K782">
            <v>34.44</v>
          </cell>
          <cell r="L782">
            <v>4.1500000000000004</v>
          </cell>
        </row>
        <row r="783">
          <cell r="A783" t="str">
            <v>KI ANGELIM</v>
          </cell>
          <cell r="B783" t="str">
            <v>04/2025</v>
          </cell>
          <cell r="H783" t="str">
            <v>REVENDA</v>
          </cell>
          <cell r="K783">
            <v>1587.6</v>
          </cell>
          <cell r="L783">
            <v>0</v>
          </cell>
        </row>
        <row r="784">
          <cell r="A784" t="str">
            <v>MULTI MADEIRAS</v>
          </cell>
          <cell r="B784" t="str">
            <v>09/2025</v>
          </cell>
          <cell r="H784" t="str">
            <v>REVENDA</v>
          </cell>
          <cell r="K784">
            <v>1482.3</v>
          </cell>
          <cell r="L784">
            <v>161.72</v>
          </cell>
        </row>
        <row r="785">
          <cell r="A785" t="str">
            <v>MULTI MADEIRAS</v>
          </cell>
          <cell r="B785" t="str">
            <v>05/2025</v>
          </cell>
          <cell r="H785" t="str">
            <v>REVENDA</v>
          </cell>
          <cell r="K785">
            <v>1404</v>
          </cell>
          <cell r="L785">
            <v>56.16</v>
          </cell>
        </row>
        <row r="786">
          <cell r="A786" t="str">
            <v>MULTI MADEIRAS</v>
          </cell>
          <cell r="B786" t="str">
            <v>08/2025</v>
          </cell>
          <cell r="H786" t="str">
            <v>REVENDA</v>
          </cell>
          <cell r="K786">
            <v>1344</v>
          </cell>
          <cell r="L786">
            <v>161.28</v>
          </cell>
        </row>
        <row r="787">
          <cell r="A787" t="str">
            <v>MULTI MADEIRAS</v>
          </cell>
          <cell r="B787" t="str">
            <v>08/2025</v>
          </cell>
          <cell r="H787" t="str">
            <v>REVENDA</v>
          </cell>
          <cell r="K787">
            <v>1342.24</v>
          </cell>
          <cell r="L787">
            <v>146.44</v>
          </cell>
        </row>
        <row r="788">
          <cell r="A788" t="str">
            <v>MULTI MADEIRAS</v>
          </cell>
          <cell r="B788" t="str">
            <v>09/2025</v>
          </cell>
          <cell r="H788" t="str">
            <v>REVENDA</v>
          </cell>
          <cell r="K788">
            <v>1302.5999999999999</v>
          </cell>
          <cell r="L788">
            <v>156.31</v>
          </cell>
        </row>
        <row r="789">
          <cell r="A789" t="str">
            <v>KI ANGELIM</v>
          </cell>
          <cell r="B789" t="str">
            <v>09/2025</v>
          </cell>
          <cell r="H789" t="str">
            <v>REVENDA</v>
          </cell>
          <cell r="K789">
            <v>1190.7</v>
          </cell>
          <cell r="L789">
            <v>0</v>
          </cell>
        </row>
        <row r="790">
          <cell r="A790" t="str">
            <v>MULTI MADEIRAS</v>
          </cell>
          <cell r="B790" t="str">
            <v>09/2025</v>
          </cell>
          <cell r="H790" t="str">
            <v>REVENDA</v>
          </cell>
          <cell r="K790">
            <v>1190.7</v>
          </cell>
          <cell r="L790">
            <v>0</v>
          </cell>
        </row>
        <row r="791">
          <cell r="A791" t="str">
            <v>MULTI MADEIRAS</v>
          </cell>
          <cell r="B791" t="str">
            <v>04/2025</v>
          </cell>
          <cell r="H791" t="str">
            <v>REVENDA</v>
          </cell>
          <cell r="K791">
            <v>1152</v>
          </cell>
          <cell r="L791">
            <v>138.24</v>
          </cell>
        </row>
        <row r="792">
          <cell r="A792" t="str">
            <v>MULTI MADEIRAS</v>
          </cell>
          <cell r="B792" t="str">
            <v>07/2025</v>
          </cell>
          <cell r="H792" t="str">
            <v>REVENDA</v>
          </cell>
          <cell r="K792">
            <v>1109.4000000000001</v>
          </cell>
          <cell r="L792">
            <v>133.13</v>
          </cell>
        </row>
        <row r="793">
          <cell r="A793" t="str">
            <v>MULTI MADEIRAS</v>
          </cell>
          <cell r="B793" t="str">
            <v>05/2025</v>
          </cell>
          <cell r="H793" t="str">
            <v>REVENDA</v>
          </cell>
          <cell r="K793">
            <v>1065</v>
          </cell>
          <cell r="L793">
            <v>43.78</v>
          </cell>
        </row>
        <row r="794">
          <cell r="A794" t="str">
            <v>MULTI MADEIRAS</v>
          </cell>
          <cell r="B794" t="str">
            <v>06/2025</v>
          </cell>
          <cell r="H794" t="str">
            <v>REVENDA</v>
          </cell>
          <cell r="K794">
            <v>992.25</v>
          </cell>
          <cell r="L794">
            <v>0</v>
          </cell>
        </row>
        <row r="795">
          <cell r="A795" t="str">
            <v>MULTI MADEIRAS</v>
          </cell>
          <cell r="B795" t="str">
            <v>07/2025</v>
          </cell>
          <cell r="H795" t="str">
            <v>REVENDA</v>
          </cell>
          <cell r="K795">
            <v>984.98</v>
          </cell>
          <cell r="L795">
            <v>39.4</v>
          </cell>
        </row>
        <row r="796">
          <cell r="A796" t="str">
            <v>MULTI MADEIRAS</v>
          </cell>
          <cell r="B796" t="str">
            <v>07/2025</v>
          </cell>
          <cell r="H796" t="str">
            <v>REVENDA</v>
          </cell>
          <cell r="K796">
            <v>932.93</v>
          </cell>
          <cell r="L796">
            <v>37.32</v>
          </cell>
        </row>
        <row r="797">
          <cell r="A797" t="str">
            <v>MULTI MADEIRAS</v>
          </cell>
          <cell r="B797" t="str">
            <v>09/2025</v>
          </cell>
          <cell r="H797" t="str">
            <v>REVENDA</v>
          </cell>
          <cell r="K797">
            <v>931.04</v>
          </cell>
          <cell r="L797">
            <v>111.72</v>
          </cell>
        </row>
        <row r="798">
          <cell r="A798" t="str">
            <v>MULTI MADEIRAS</v>
          </cell>
          <cell r="B798" t="str">
            <v>07/2025</v>
          </cell>
          <cell r="H798" t="str">
            <v>REVENDA</v>
          </cell>
          <cell r="K798">
            <v>924.5</v>
          </cell>
          <cell r="L798">
            <v>110.94</v>
          </cell>
        </row>
        <row r="799">
          <cell r="A799" t="str">
            <v>MULTI MADEIRAS</v>
          </cell>
          <cell r="B799" t="str">
            <v>06/2025</v>
          </cell>
          <cell r="H799" t="str">
            <v>REVENDA</v>
          </cell>
          <cell r="K799">
            <v>924.5</v>
          </cell>
          <cell r="L799">
            <v>110.94</v>
          </cell>
        </row>
        <row r="800">
          <cell r="A800" t="str">
            <v>MULTI MADEIRAS</v>
          </cell>
          <cell r="B800" t="str">
            <v>05/2025</v>
          </cell>
          <cell r="H800" t="str">
            <v>REVENDA</v>
          </cell>
          <cell r="K800">
            <v>924.5</v>
          </cell>
          <cell r="L800">
            <v>110.94</v>
          </cell>
        </row>
        <row r="801">
          <cell r="A801" t="str">
            <v>MULTI MADEIRAS</v>
          </cell>
          <cell r="B801" t="str">
            <v>05/2025</v>
          </cell>
          <cell r="H801" t="str">
            <v>REVENDA</v>
          </cell>
          <cell r="K801">
            <v>924.5</v>
          </cell>
          <cell r="L801">
            <v>110.94</v>
          </cell>
        </row>
        <row r="802">
          <cell r="A802" t="str">
            <v>MULTI MADEIRAS</v>
          </cell>
          <cell r="B802" t="str">
            <v>07/2025</v>
          </cell>
          <cell r="H802" t="str">
            <v>REVENDA</v>
          </cell>
          <cell r="K802">
            <v>896</v>
          </cell>
          <cell r="L802">
            <v>179.2</v>
          </cell>
        </row>
        <row r="803">
          <cell r="A803" t="str">
            <v>MULTI MADEIRAS</v>
          </cell>
          <cell r="B803" t="str">
            <v>08/2025</v>
          </cell>
          <cell r="H803" t="str">
            <v>REVENDA</v>
          </cell>
          <cell r="K803">
            <v>891.2</v>
          </cell>
          <cell r="L803">
            <v>178.24</v>
          </cell>
        </row>
        <row r="804">
          <cell r="A804" t="str">
            <v>MULTI MADEIRAS</v>
          </cell>
          <cell r="B804" t="str">
            <v>08/2025</v>
          </cell>
          <cell r="H804" t="str">
            <v>REVENDA</v>
          </cell>
          <cell r="K804">
            <v>869.95</v>
          </cell>
          <cell r="L804">
            <v>104.39</v>
          </cell>
        </row>
        <row r="805">
          <cell r="A805" t="str">
            <v>MULTI MADEIRAS</v>
          </cell>
          <cell r="B805" t="str">
            <v>05/2025</v>
          </cell>
          <cell r="H805" t="str">
            <v>REVENDA</v>
          </cell>
          <cell r="K805">
            <v>855</v>
          </cell>
          <cell r="L805">
            <v>102.6</v>
          </cell>
        </row>
        <row r="806">
          <cell r="A806" t="str">
            <v>MULTI MADEIRAS</v>
          </cell>
          <cell r="B806" t="str">
            <v>04/2025</v>
          </cell>
          <cell r="H806" t="str">
            <v>REVENDA</v>
          </cell>
          <cell r="K806">
            <v>850.2</v>
          </cell>
          <cell r="L806">
            <v>0</v>
          </cell>
        </row>
        <row r="807">
          <cell r="A807" t="str">
            <v>MULTI MADEIRAS</v>
          </cell>
          <cell r="B807" t="str">
            <v>04/2025</v>
          </cell>
          <cell r="H807" t="str">
            <v>REVENDA</v>
          </cell>
          <cell r="K807">
            <v>850.2</v>
          </cell>
          <cell r="L807">
            <v>0</v>
          </cell>
        </row>
        <row r="808">
          <cell r="A808" t="str">
            <v>MULTI MADEIRAS</v>
          </cell>
          <cell r="B808" t="str">
            <v>04/2025</v>
          </cell>
          <cell r="H808" t="str">
            <v>REVENDA</v>
          </cell>
          <cell r="K808">
            <v>850.2</v>
          </cell>
          <cell r="L808">
            <v>0</v>
          </cell>
        </row>
        <row r="809">
          <cell r="A809" t="str">
            <v>MULTI MADEIRAS</v>
          </cell>
          <cell r="B809" t="str">
            <v>09/2025</v>
          </cell>
          <cell r="H809" t="str">
            <v>REVENDA</v>
          </cell>
          <cell r="K809">
            <v>849.2</v>
          </cell>
          <cell r="L809">
            <v>33.97</v>
          </cell>
        </row>
        <row r="810">
          <cell r="A810" t="str">
            <v>KI ANGELIM</v>
          </cell>
          <cell r="B810" t="str">
            <v>04/2025</v>
          </cell>
          <cell r="H810" t="str">
            <v>REVENDA</v>
          </cell>
          <cell r="K810">
            <v>841</v>
          </cell>
          <cell r="L810">
            <v>0</v>
          </cell>
        </row>
        <row r="811">
          <cell r="A811" t="str">
            <v>MULTI MADEIRAS</v>
          </cell>
          <cell r="B811" t="str">
            <v>08/2025</v>
          </cell>
          <cell r="H811" t="str">
            <v>REVENDA</v>
          </cell>
          <cell r="K811">
            <v>830.83</v>
          </cell>
          <cell r="L811">
            <v>0</v>
          </cell>
        </row>
        <row r="812">
          <cell r="A812" t="str">
            <v>KI ANGELIM</v>
          </cell>
          <cell r="B812" t="str">
            <v>04/2025</v>
          </cell>
          <cell r="H812" t="str">
            <v>REVENDA</v>
          </cell>
          <cell r="K812">
            <v>813.36</v>
          </cell>
          <cell r="L812">
            <v>0</v>
          </cell>
        </row>
        <row r="813">
          <cell r="A813" t="str">
            <v>MULTI MADEIRAS</v>
          </cell>
          <cell r="B813" t="str">
            <v>08/2025</v>
          </cell>
          <cell r="H813" t="str">
            <v>REVENDA</v>
          </cell>
          <cell r="K813">
            <v>806.4</v>
          </cell>
          <cell r="L813">
            <v>96.77</v>
          </cell>
        </row>
        <row r="814">
          <cell r="A814" t="str">
            <v>MULTI MADEIRAS</v>
          </cell>
          <cell r="B814" t="str">
            <v>05/2025</v>
          </cell>
          <cell r="H814" t="str">
            <v>REVENDA</v>
          </cell>
          <cell r="K814">
            <v>801.05</v>
          </cell>
          <cell r="L814">
            <v>96.13</v>
          </cell>
        </row>
        <row r="815">
          <cell r="A815" t="str">
            <v>MULTI MADEIRAS</v>
          </cell>
          <cell r="B815" t="str">
            <v>07/2025</v>
          </cell>
          <cell r="H815" t="str">
            <v>REVENDA</v>
          </cell>
          <cell r="K815">
            <v>780</v>
          </cell>
          <cell r="L815">
            <v>31.2</v>
          </cell>
        </row>
        <row r="816">
          <cell r="A816" t="str">
            <v>MULTI MADEIRAS</v>
          </cell>
          <cell r="B816" t="str">
            <v>05/2025</v>
          </cell>
          <cell r="H816" t="str">
            <v>REVENDA</v>
          </cell>
          <cell r="K816">
            <v>757.87</v>
          </cell>
          <cell r="L816">
            <v>90.94</v>
          </cell>
        </row>
        <row r="817">
          <cell r="A817" t="str">
            <v>MULTI MADEIRAS</v>
          </cell>
          <cell r="B817" t="str">
            <v>08/2025</v>
          </cell>
          <cell r="H817" t="str">
            <v>REVENDA</v>
          </cell>
          <cell r="K817">
            <v>754.56</v>
          </cell>
          <cell r="L817">
            <v>33.700000000000003</v>
          </cell>
        </row>
        <row r="818">
          <cell r="A818" t="str">
            <v>MULTI MADEIRAS</v>
          </cell>
          <cell r="B818" t="str">
            <v>04/2025</v>
          </cell>
          <cell r="H818" t="str">
            <v>REVENDA</v>
          </cell>
          <cell r="K818">
            <v>747.6</v>
          </cell>
          <cell r="L818">
            <v>89.71</v>
          </cell>
        </row>
        <row r="819">
          <cell r="A819" t="str">
            <v>KI ANGELIM</v>
          </cell>
          <cell r="B819" t="str">
            <v>04/2025</v>
          </cell>
          <cell r="H819" t="str">
            <v>REVENDA</v>
          </cell>
          <cell r="K819">
            <v>742.4</v>
          </cell>
          <cell r="L819">
            <v>0</v>
          </cell>
        </row>
        <row r="820">
          <cell r="A820" t="str">
            <v>MULTI MADEIRAS</v>
          </cell>
          <cell r="B820" t="str">
            <v>04/2025</v>
          </cell>
          <cell r="H820" t="str">
            <v>REVENDA</v>
          </cell>
          <cell r="K820">
            <v>742.12</v>
          </cell>
          <cell r="L820">
            <v>89.06</v>
          </cell>
        </row>
        <row r="821">
          <cell r="A821" t="str">
            <v>MULTI MADEIRAS</v>
          </cell>
          <cell r="B821" t="str">
            <v>07/2025</v>
          </cell>
          <cell r="H821" t="str">
            <v>REVENDA</v>
          </cell>
          <cell r="K821">
            <v>741.15</v>
          </cell>
          <cell r="L821">
            <v>80.87</v>
          </cell>
        </row>
        <row r="822">
          <cell r="A822" t="str">
            <v>MULTI MADEIRAS</v>
          </cell>
          <cell r="B822" t="str">
            <v>06/2025</v>
          </cell>
          <cell r="H822" t="str">
            <v>REVENDA</v>
          </cell>
          <cell r="K822">
            <v>739.6</v>
          </cell>
          <cell r="L822">
            <v>88.75</v>
          </cell>
        </row>
        <row r="823">
          <cell r="A823" t="str">
            <v>MULTI MADEIRAS</v>
          </cell>
          <cell r="B823" t="str">
            <v>07/2025</v>
          </cell>
          <cell r="H823" t="str">
            <v>REVENDA</v>
          </cell>
          <cell r="K823">
            <v>730.66</v>
          </cell>
          <cell r="L823">
            <v>29.23</v>
          </cell>
        </row>
        <row r="824">
          <cell r="A824" t="str">
            <v>MULTI MADEIRAS</v>
          </cell>
          <cell r="B824" t="str">
            <v>07/2025</v>
          </cell>
          <cell r="H824" t="str">
            <v>REVENDA</v>
          </cell>
          <cell r="K824">
            <v>702.2</v>
          </cell>
          <cell r="L824">
            <v>86.37</v>
          </cell>
        </row>
        <row r="825">
          <cell r="A825" t="str">
            <v>MULTI MADEIRAS</v>
          </cell>
          <cell r="B825" t="str">
            <v>04/2025</v>
          </cell>
          <cell r="H825" t="str">
            <v>REVENDA</v>
          </cell>
          <cell r="K825">
            <v>702.2</v>
          </cell>
          <cell r="L825">
            <v>84.26</v>
          </cell>
        </row>
        <row r="826">
          <cell r="A826" t="str">
            <v>MULTI MADEIRAS</v>
          </cell>
          <cell r="B826" t="str">
            <v>05/2025</v>
          </cell>
          <cell r="H826" t="str">
            <v>REVENDA</v>
          </cell>
          <cell r="K826">
            <v>696.6</v>
          </cell>
          <cell r="L826">
            <v>76</v>
          </cell>
        </row>
        <row r="827">
          <cell r="A827" t="str">
            <v>MULTI MADEIRAS</v>
          </cell>
          <cell r="B827" t="str">
            <v>07/2025</v>
          </cell>
          <cell r="H827" t="str">
            <v>REVENDA</v>
          </cell>
          <cell r="K827">
            <v>684</v>
          </cell>
          <cell r="L827">
            <v>82.08</v>
          </cell>
        </row>
        <row r="828">
          <cell r="A828" t="str">
            <v>MULTI MADEIRAS</v>
          </cell>
          <cell r="B828" t="str">
            <v>07/2025</v>
          </cell>
          <cell r="H828" t="str">
            <v>REVENDA</v>
          </cell>
          <cell r="K828">
            <v>672.48</v>
          </cell>
          <cell r="L828">
            <v>73.36</v>
          </cell>
        </row>
        <row r="829">
          <cell r="A829" t="str">
            <v>MULTI MADEIRAS</v>
          </cell>
          <cell r="B829" t="str">
            <v>07/2025</v>
          </cell>
          <cell r="H829" t="str">
            <v>REVENDA</v>
          </cell>
          <cell r="K829">
            <v>648</v>
          </cell>
          <cell r="L829">
            <v>0</v>
          </cell>
        </row>
        <row r="830">
          <cell r="A830" t="str">
            <v>MULTI MADEIRAS</v>
          </cell>
          <cell r="B830" t="str">
            <v>09/2025</v>
          </cell>
          <cell r="H830" t="str">
            <v>REVENDA</v>
          </cell>
          <cell r="K830">
            <v>645.11</v>
          </cell>
          <cell r="L830">
            <v>70.38</v>
          </cell>
        </row>
        <row r="831">
          <cell r="A831" t="str">
            <v>MULTI MADEIRAS</v>
          </cell>
          <cell r="B831" t="str">
            <v>05/2025</v>
          </cell>
          <cell r="H831" t="str">
            <v>REVENDA</v>
          </cell>
          <cell r="K831">
            <v>643.08000000000004</v>
          </cell>
          <cell r="L831">
            <v>77.17</v>
          </cell>
        </row>
        <row r="832">
          <cell r="A832" t="str">
            <v>MULTI MADEIRAS</v>
          </cell>
          <cell r="B832" t="str">
            <v>08/2025</v>
          </cell>
          <cell r="H832" t="str">
            <v>REVENDA</v>
          </cell>
          <cell r="K832">
            <v>639.79999999999995</v>
          </cell>
          <cell r="L832">
            <v>27.72</v>
          </cell>
        </row>
        <row r="833">
          <cell r="A833" t="str">
            <v>MULTI MADEIRAS</v>
          </cell>
          <cell r="B833" t="str">
            <v>06/2025</v>
          </cell>
          <cell r="H833" t="str">
            <v>REVENDA</v>
          </cell>
          <cell r="K833">
            <v>628</v>
          </cell>
          <cell r="L833">
            <v>71.59</v>
          </cell>
        </row>
        <row r="834">
          <cell r="A834" t="str">
            <v>MULTI MADEIRAS</v>
          </cell>
          <cell r="B834" t="str">
            <v>08/2025</v>
          </cell>
          <cell r="H834" t="str">
            <v>REVENDA</v>
          </cell>
          <cell r="K834">
            <v>624.36</v>
          </cell>
          <cell r="L834">
            <v>0</v>
          </cell>
        </row>
        <row r="835">
          <cell r="A835" t="str">
            <v>MULTI MADEIRAS</v>
          </cell>
          <cell r="B835" t="str">
            <v>08/2025</v>
          </cell>
          <cell r="H835" t="str">
            <v>REVENDA</v>
          </cell>
          <cell r="K835">
            <v>605.6</v>
          </cell>
          <cell r="L835">
            <v>0</v>
          </cell>
        </row>
        <row r="836">
          <cell r="A836" t="str">
            <v>MULTI MADEIRAS</v>
          </cell>
          <cell r="B836" t="str">
            <v>08/2025</v>
          </cell>
          <cell r="H836" t="str">
            <v>REVENDA</v>
          </cell>
          <cell r="K836">
            <v>605.6</v>
          </cell>
          <cell r="L836">
            <v>0</v>
          </cell>
        </row>
        <row r="837">
          <cell r="A837" t="str">
            <v>MULTI MADEIRAS</v>
          </cell>
          <cell r="B837" t="str">
            <v>07/2025</v>
          </cell>
          <cell r="H837" t="str">
            <v>REVENDA</v>
          </cell>
          <cell r="K837">
            <v>603.52</v>
          </cell>
          <cell r="L837">
            <v>74.23</v>
          </cell>
        </row>
        <row r="838">
          <cell r="A838" t="str">
            <v>MULTI MADEIRAS</v>
          </cell>
          <cell r="B838" t="str">
            <v>08/2025</v>
          </cell>
          <cell r="H838" t="str">
            <v>REVENDA</v>
          </cell>
          <cell r="K838">
            <v>596</v>
          </cell>
          <cell r="L838">
            <v>25.83</v>
          </cell>
        </row>
        <row r="839">
          <cell r="A839" t="str">
            <v>MULTI MADEIRAS</v>
          </cell>
          <cell r="B839" t="str">
            <v>05/2025</v>
          </cell>
          <cell r="H839" t="str">
            <v>REVENDA</v>
          </cell>
          <cell r="K839">
            <v>592.91999999999996</v>
          </cell>
          <cell r="L839">
            <v>64.69</v>
          </cell>
        </row>
        <row r="840">
          <cell r="A840" t="str">
            <v>MULTI MADEIRAS</v>
          </cell>
          <cell r="B840" t="str">
            <v>04/2025</v>
          </cell>
          <cell r="H840" t="str">
            <v>REVENDA</v>
          </cell>
          <cell r="K840">
            <v>576</v>
          </cell>
          <cell r="L840">
            <v>69.12</v>
          </cell>
        </row>
        <row r="841">
          <cell r="A841" t="str">
            <v>MULTI MADEIRAS</v>
          </cell>
          <cell r="B841" t="str">
            <v>08/2025</v>
          </cell>
          <cell r="H841" t="str">
            <v>REVENDA</v>
          </cell>
          <cell r="K841">
            <v>576</v>
          </cell>
          <cell r="L841">
            <v>69.12</v>
          </cell>
        </row>
        <row r="842">
          <cell r="A842" t="str">
            <v>MULTI MADEIRAS</v>
          </cell>
          <cell r="B842" t="str">
            <v>07/2025</v>
          </cell>
          <cell r="H842" t="str">
            <v>REVENDA</v>
          </cell>
          <cell r="K842">
            <v>576</v>
          </cell>
          <cell r="L842">
            <v>69.12</v>
          </cell>
        </row>
        <row r="843">
          <cell r="A843" t="str">
            <v>MULTI MADEIRAS</v>
          </cell>
          <cell r="B843" t="str">
            <v>05/2025</v>
          </cell>
          <cell r="H843" t="str">
            <v>REVENDA</v>
          </cell>
          <cell r="K843">
            <v>573.6</v>
          </cell>
          <cell r="L843">
            <v>22.94</v>
          </cell>
        </row>
        <row r="844">
          <cell r="A844" t="str">
            <v>MULTI MADEIRAS</v>
          </cell>
          <cell r="B844" t="str">
            <v>09/2025</v>
          </cell>
          <cell r="H844" t="str">
            <v>REVENDA</v>
          </cell>
          <cell r="K844">
            <v>570.04</v>
          </cell>
          <cell r="L844">
            <v>68.400000000000006</v>
          </cell>
        </row>
        <row r="845">
          <cell r="A845" t="str">
            <v>MULTI MADEIRAS</v>
          </cell>
          <cell r="B845" t="str">
            <v>09/2025</v>
          </cell>
          <cell r="H845" t="str">
            <v>REVENDA</v>
          </cell>
          <cell r="K845">
            <v>567.28</v>
          </cell>
          <cell r="L845">
            <v>68.069999999999993</v>
          </cell>
        </row>
        <row r="846">
          <cell r="A846" t="str">
            <v>MULTI MADEIRAS</v>
          </cell>
          <cell r="B846" t="str">
            <v>09/2025</v>
          </cell>
          <cell r="H846" t="str">
            <v>REVENDA</v>
          </cell>
          <cell r="K846">
            <v>560.20000000000005</v>
          </cell>
          <cell r="L846">
            <v>22.41</v>
          </cell>
        </row>
        <row r="847">
          <cell r="A847" t="str">
            <v>MULTI MADEIRAS</v>
          </cell>
          <cell r="B847" t="str">
            <v>08/2025</v>
          </cell>
          <cell r="H847" t="str">
            <v>REVENDA</v>
          </cell>
          <cell r="K847">
            <v>558.6</v>
          </cell>
          <cell r="L847">
            <v>60.94</v>
          </cell>
        </row>
        <row r="848">
          <cell r="A848" t="str">
            <v>MULTI MADEIRAS</v>
          </cell>
          <cell r="B848" t="str">
            <v>08/2025</v>
          </cell>
          <cell r="H848" t="str">
            <v>REVENDA</v>
          </cell>
          <cell r="K848">
            <v>558.6</v>
          </cell>
          <cell r="L848">
            <v>60.94</v>
          </cell>
        </row>
        <row r="849">
          <cell r="A849" t="str">
            <v>MULTI MADEIRAS</v>
          </cell>
          <cell r="B849" t="str">
            <v>09/2025</v>
          </cell>
          <cell r="H849" t="str">
            <v>REVENDA</v>
          </cell>
          <cell r="K849">
            <v>554.70000000000005</v>
          </cell>
          <cell r="L849">
            <v>66.56</v>
          </cell>
        </row>
        <row r="850">
          <cell r="A850" t="str">
            <v>MULTI MADEIRAS</v>
          </cell>
          <cell r="B850" t="str">
            <v>04/2025</v>
          </cell>
          <cell r="H850" t="str">
            <v>REVENDA</v>
          </cell>
          <cell r="K850">
            <v>551.20000000000005</v>
          </cell>
          <cell r="L850">
            <v>0</v>
          </cell>
        </row>
        <row r="851">
          <cell r="A851" t="str">
            <v>MULTI MADEIRAS</v>
          </cell>
          <cell r="B851" t="str">
            <v>04/2025</v>
          </cell>
          <cell r="H851" t="str">
            <v>REVENDA</v>
          </cell>
          <cell r="K851">
            <v>551.20000000000005</v>
          </cell>
          <cell r="L851">
            <v>0</v>
          </cell>
        </row>
        <row r="852">
          <cell r="A852" t="str">
            <v>MULTI MADEIRAS</v>
          </cell>
          <cell r="B852" t="str">
            <v>04/2025</v>
          </cell>
          <cell r="H852" t="str">
            <v>REVENDA</v>
          </cell>
          <cell r="K852">
            <v>551.20000000000005</v>
          </cell>
          <cell r="L852">
            <v>0</v>
          </cell>
        </row>
        <row r="853">
          <cell r="A853" t="str">
            <v>MULTI MADEIRAS</v>
          </cell>
          <cell r="B853" t="str">
            <v>09/2025</v>
          </cell>
          <cell r="H853" t="str">
            <v>REVENDA</v>
          </cell>
          <cell r="K853">
            <v>527.04</v>
          </cell>
          <cell r="L853">
            <v>63.24</v>
          </cell>
        </row>
        <row r="854">
          <cell r="A854" t="str">
            <v>KI ANGELIM</v>
          </cell>
          <cell r="B854" t="str">
            <v>04/2025</v>
          </cell>
          <cell r="H854" t="str">
            <v>REVENDA</v>
          </cell>
          <cell r="K854">
            <v>526.4</v>
          </cell>
          <cell r="L854">
            <v>0</v>
          </cell>
        </row>
        <row r="855">
          <cell r="A855" t="str">
            <v>MULTI MADEIRAS</v>
          </cell>
          <cell r="B855" t="str">
            <v>09/2025</v>
          </cell>
          <cell r="H855" t="str">
            <v>REVENDA</v>
          </cell>
          <cell r="K855">
            <v>519.21</v>
          </cell>
          <cell r="L855">
            <v>56.64</v>
          </cell>
        </row>
        <row r="856">
          <cell r="A856" t="str">
            <v>MULTI MADEIRAS</v>
          </cell>
          <cell r="B856" t="str">
            <v>09/2025</v>
          </cell>
          <cell r="H856" t="str">
            <v>REVENDA</v>
          </cell>
          <cell r="K856">
            <v>507.4</v>
          </cell>
          <cell r="L856">
            <v>61.92</v>
          </cell>
        </row>
        <row r="857">
          <cell r="A857" t="str">
            <v>MULTI MADEIRAS</v>
          </cell>
          <cell r="B857" t="str">
            <v>08/2025</v>
          </cell>
          <cell r="H857" t="str">
            <v>REVENDA</v>
          </cell>
          <cell r="K857">
            <v>500</v>
          </cell>
          <cell r="L857">
            <v>21.66</v>
          </cell>
        </row>
        <row r="858">
          <cell r="A858" t="str">
            <v>MULTI MADEIRAS</v>
          </cell>
          <cell r="B858" t="str">
            <v>05/2025</v>
          </cell>
          <cell r="H858" t="str">
            <v>REVENDA</v>
          </cell>
          <cell r="K858">
            <v>492.96</v>
          </cell>
          <cell r="L858">
            <v>59.16</v>
          </cell>
        </row>
        <row r="859">
          <cell r="A859" t="str">
            <v>MULTI MADEIRAS</v>
          </cell>
          <cell r="B859" t="str">
            <v>07/2025</v>
          </cell>
          <cell r="H859" t="str">
            <v>REVENDA</v>
          </cell>
          <cell r="K859">
            <v>484.92</v>
          </cell>
          <cell r="L859">
            <v>59.64</v>
          </cell>
        </row>
        <row r="860">
          <cell r="A860" t="str">
            <v>MULTI MADEIRAS</v>
          </cell>
          <cell r="B860" t="str">
            <v>06/2025</v>
          </cell>
          <cell r="H860" t="str">
            <v>REVENDA</v>
          </cell>
          <cell r="K860">
            <v>484.92</v>
          </cell>
          <cell r="L860">
            <v>61</v>
          </cell>
        </row>
        <row r="861">
          <cell r="A861" t="str">
            <v>MULTI MADEIRAS</v>
          </cell>
          <cell r="B861" t="str">
            <v>04/2025</v>
          </cell>
          <cell r="H861" t="str">
            <v>REVENDA</v>
          </cell>
          <cell r="K861">
            <v>484.92</v>
          </cell>
          <cell r="L861">
            <v>58.19</v>
          </cell>
        </row>
        <row r="862">
          <cell r="A862" t="str">
            <v>KI ANGELIM</v>
          </cell>
          <cell r="B862" t="str">
            <v>04/2025</v>
          </cell>
          <cell r="H862" t="str">
            <v>REVENDA</v>
          </cell>
          <cell r="K862">
            <v>473</v>
          </cell>
          <cell r="L862">
            <v>0</v>
          </cell>
        </row>
        <row r="863">
          <cell r="A863" t="str">
            <v>MULTI MADEIRAS</v>
          </cell>
          <cell r="B863" t="str">
            <v>08/2025</v>
          </cell>
          <cell r="H863" t="str">
            <v>REVENDA</v>
          </cell>
          <cell r="K863">
            <v>468</v>
          </cell>
          <cell r="L863">
            <v>51.06</v>
          </cell>
        </row>
        <row r="864">
          <cell r="A864" t="str">
            <v>MULTI MADEIRAS</v>
          </cell>
          <cell r="B864" t="str">
            <v>04/2025</v>
          </cell>
          <cell r="H864" t="str">
            <v>REVENDA</v>
          </cell>
          <cell r="K864">
            <v>467.84</v>
          </cell>
          <cell r="L864">
            <v>56.15</v>
          </cell>
        </row>
        <row r="865">
          <cell r="A865" t="str">
            <v>MULTI MADEIRAS</v>
          </cell>
          <cell r="B865" t="str">
            <v>07/2025</v>
          </cell>
          <cell r="H865" t="str">
            <v>REVENDA</v>
          </cell>
          <cell r="K865">
            <v>456</v>
          </cell>
          <cell r="L865">
            <v>54.72</v>
          </cell>
        </row>
        <row r="866">
          <cell r="A866" t="str">
            <v>MULTI MADEIRAS</v>
          </cell>
          <cell r="B866" t="str">
            <v>09/2025</v>
          </cell>
          <cell r="H866" t="str">
            <v>REVENDA</v>
          </cell>
          <cell r="K866">
            <v>454.4</v>
          </cell>
          <cell r="L866">
            <v>18.18</v>
          </cell>
        </row>
        <row r="867">
          <cell r="A867" t="str">
            <v>MULTI MADEIRAS</v>
          </cell>
          <cell r="B867" t="str">
            <v>09/2025</v>
          </cell>
          <cell r="H867" t="str">
            <v>REVENDA</v>
          </cell>
          <cell r="K867">
            <v>449.32</v>
          </cell>
          <cell r="L867">
            <v>53.92</v>
          </cell>
        </row>
        <row r="868">
          <cell r="A868" t="str">
            <v>MULTI MADEIRAS</v>
          </cell>
          <cell r="B868" t="str">
            <v>04/2025</v>
          </cell>
          <cell r="H868" t="str">
            <v>REVENDA</v>
          </cell>
          <cell r="K868">
            <v>445.6</v>
          </cell>
          <cell r="L868">
            <v>89.12</v>
          </cell>
        </row>
        <row r="869">
          <cell r="A869" t="str">
            <v>MULTI MADEIRAS</v>
          </cell>
          <cell r="B869" t="str">
            <v>07/2025</v>
          </cell>
          <cell r="H869" t="str">
            <v>REVENDA</v>
          </cell>
          <cell r="K869">
            <v>444.47</v>
          </cell>
          <cell r="L869">
            <v>17.78</v>
          </cell>
        </row>
        <row r="870">
          <cell r="A870" t="str">
            <v>MULTI MADEIRAS</v>
          </cell>
          <cell r="B870" t="str">
            <v>04/2025</v>
          </cell>
          <cell r="H870" t="str">
            <v>REVENDA</v>
          </cell>
          <cell r="K870">
            <v>444.15</v>
          </cell>
          <cell r="L870">
            <v>48.46</v>
          </cell>
        </row>
        <row r="871">
          <cell r="A871" t="str">
            <v>MULTI MADEIRAS</v>
          </cell>
          <cell r="B871" t="str">
            <v>07/2025</v>
          </cell>
          <cell r="H871" t="str">
            <v>REVENDA</v>
          </cell>
          <cell r="K871">
            <v>437.32</v>
          </cell>
          <cell r="L871">
            <v>53.79</v>
          </cell>
        </row>
        <row r="872">
          <cell r="A872" t="str">
            <v>MULTI MADEIRAS</v>
          </cell>
          <cell r="B872" t="str">
            <v>06/2025</v>
          </cell>
          <cell r="H872" t="str">
            <v>REVENDA</v>
          </cell>
          <cell r="K872">
            <v>435.2</v>
          </cell>
          <cell r="L872">
            <v>52.22</v>
          </cell>
        </row>
        <row r="873">
          <cell r="A873" t="str">
            <v>MULTI MADEIRAS</v>
          </cell>
          <cell r="B873" t="str">
            <v>06/2025</v>
          </cell>
          <cell r="H873" t="str">
            <v>REVENDA</v>
          </cell>
          <cell r="K873">
            <v>435.2</v>
          </cell>
          <cell r="L873">
            <v>52.22</v>
          </cell>
        </row>
        <row r="874">
          <cell r="A874" t="str">
            <v>MULTI MADEIRAS</v>
          </cell>
          <cell r="B874" t="str">
            <v>06/2025</v>
          </cell>
          <cell r="H874" t="str">
            <v>REVENDA</v>
          </cell>
          <cell r="K874">
            <v>422.6</v>
          </cell>
          <cell r="L874">
            <v>53.17</v>
          </cell>
        </row>
        <row r="875">
          <cell r="A875" t="str">
            <v>MULTI MADEIRAS</v>
          </cell>
          <cell r="B875" t="str">
            <v>07/2025</v>
          </cell>
          <cell r="H875" t="str">
            <v>REVENDA</v>
          </cell>
          <cell r="K875">
            <v>420.96</v>
          </cell>
          <cell r="L875">
            <v>16.84</v>
          </cell>
        </row>
        <row r="876">
          <cell r="A876" t="str">
            <v>MULTI MADEIRAS</v>
          </cell>
          <cell r="B876" t="str">
            <v>08/2025</v>
          </cell>
          <cell r="H876" t="str">
            <v>REVENDA</v>
          </cell>
          <cell r="K876">
            <v>419.82</v>
          </cell>
          <cell r="L876">
            <v>16.79</v>
          </cell>
        </row>
        <row r="877">
          <cell r="A877" t="str">
            <v>MULTI MADEIRAS</v>
          </cell>
          <cell r="B877" t="str">
            <v>08/2025</v>
          </cell>
          <cell r="H877" t="str">
            <v>REVENDA</v>
          </cell>
          <cell r="K877">
            <v>418.05</v>
          </cell>
          <cell r="L877">
            <v>18.12</v>
          </cell>
        </row>
        <row r="878">
          <cell r="A878" t="str">
            <v>MULTI MADEIRAS</v>
          </cell>
          <cell r="B878" t="str">
            <v>08/2025</v>
          </cell>
          <cell r="H878" t="str">
            <v>REVENDA</v>
          </cell>
          <cell r="K878">
            <v>414.89</v>
          </cell>
          <cell r="L878">
            <v>49.94</v>
          </cell>
        </row>
        <row r="879">
          <cell r="A879" t="str">
            <v>MULTI MADEIRAS</v>
          </cell>
          <cell r="B879" t="str">
            <v>05/2025</v>
          </cell>
          <cell r="H879" t="str">
            <v>REVENDA</v>
          </cell>
          <cell r="K879">
            <v>413.4</v>
          </cell>
          <cell r="L879">
            <v>17</v>
          </cell>
        </row>
        <row r="880">
          <cell r="A880" t="str">
            <v>MULTI MADEIRAS</v>
          </cell>
          <cell r="B880" t="str">
            <v>05/2025</v>
          </cell>
          <cell r="H880" t="str">
            <v>REVENDA</v>
          </cell>
          <cell r="K880">
            <v>403.7</v>
          </cell>
          <cell r="L880">
            <v>46.02</v>
          </cell>
        </row>
        <row r="881">
          <cell r="A881" t="str">
            <v>MULTI MADEIRAS</v>
          </cell>
          <cell r="B881" t="str">
            <v>07/2025</v>
          </cell>
          <cell r="H881" t="str">
            <v>REVENDA</v>
          </cell>
          <cell r="K881">
            <v>402.89</v>
          </cell>
          <cell r="L881">
            <v>43.96</v>
          </cell>
        </row>
        <row r="882">
          <cell r="A882" t="str">
            <v>MULTI MADEIRAS</v>
          </cell>
          <cell r="B882" t="str">
            <v>05/2025</v>
          </cell>
          <cell r="H882" t="str">
            <v>REVENDA</v>
          </cell>
          <cell r="K882">
            <v>398</v>
          </cell>
          <cell r="L882">
            <v>15.92</v>
          </cell>
        </row>
        <row r="883">
          <cell r="A883" t="str">
            <v>MULTI MADEIRAS</v>
          </cell>
          <cell r="B883" t="str">
            <v>05/2025</v>
          </cell>
          <cell r="H883" t="str">
            <v>REVENDA</v>
          </cell>
          <cell r="K883">
            <v>396.36</v>
          </cell>
          <cell r="L883">
            <v>43.24</v>
          </cell>
        </row>
        <row r="884">
          <cell r="A884" t="str">
            <v>MULTI MADEIRAS</v>
          </cell>
          <cell r="B884" t="str">
            <v>07/2025</v>
          </cell>
          <cell r="H884" t="str">
            <v>REVENDA</v>
          </cell>
          <cell r="K884">
            <v>396</v>
          </cell>
          <cell r="L884">
            <v>47.52</v>
          </cell>
        </row>
        <row r="885">
          <cell r="A885" t="str">
            <v>MULTI MADEIRAS</v>
          </cell>
          <cell r="B885" t="str">
            <v>05/2025</v>
          </cell>
          <cell r="H885" t="str">
            <v>REVENDA</v>
          </cell>
          <cell r="K885">
            <v>393.75</v>
          </cell>
          <cell r="L885">
            <v>47.25</v>
          </cell>
        </row>
        <row r="886">
          <cell r="A886" t="str">
            <v>MULTI MADEIRAS</v>
          </cell>
          <cell r="B886" t="str">
            <v>05/2025</v>
          </cell>
          <cell r="H886" t="str">
            <v>REVENDA</v>
          </cell>
          <cell r="K886">
            <v>391.56</v>
          </cell>
          <cell r="L886">
            <v>15.66</v>
          </cell>
        </row>
        <row r="887">
          <cell r="A887" t="str">
            <v>MULTI MADEIRAS</v>
          </cell>
          <cell r="B887" t="str">
            <v>05/2025</v>
          </cell>
          <cell r="H887" t="str">
            <v>REVENDA</v>
          </cell>
          <cell r="K887">
            <v>390.96</v>
          </cell>
          <cell r="L887">
            <v>46.92</v>
          </cell>
        </row>
        <row r="888">
          <cell r="A888" t="str">
            <v>MULTI MADEIRAS</v>
          </cell>
          <cell r="B888" t="str">
            <v>05/2025</v>
          </cell>
          <cell r="H888" t="str">
            <v>REVENDA</v>
          </cell>
          <cell r="K888">
            <v>390.24</v>
          </cell>
          <cell r="L888">
            <v>46.83</v>
          </cell>
        </row>
        <row r="889">
          <cell r="A889" t="str">
            <v>MULTI MADEIRAS</v>
          </cell>
          <cell r="B889" t="str">
            <v>05/2025</v>
          </cell>
          <cell r="H889" t="str">
            <v>REVENDA</v>
          </cell>
          <cell r="K889">
            <v>388.8</v>
          </cell>
          <cell r="L889">
            <v>15.55</v>
          </cell>
        </row>
        <row r="890">
          <cell r="A890" t="str">
            <v>MULTI MADEIRAS</v>
          </cell>
          <cell r="B890" t="str">
            <v>07/2025</v>
          </cell>
          <cell r="H890" t="str">
            <v>REVENDA</v>
          </cell>
          <cell r="K890">
            <v>380.98</v>
          </cell>
          <cell r="L890">
            <v>15.24</v>
          </cell>
        </row>
        <row r="891">
          <cell r="A891" t="str">
            <v>MULTI MADEIRAS</v>
          </cell>
          <cell r="B891" t="str">
            <v>07/2025</v>
          </cell>
          <cell r="H891" t="str">
            <v>REVENDA</v>
          </cell>
          <cell r="K891">
            <v>380</v>
          </cell>
          <cell r="L891">
            <v>45.6</v>
          </cell>
        </row>
        <row r="892">
          <cell r="A892" t="str">
            <v>MULTI MADEIRAS</v>
          </cell>
          <cell r="B892" t="str">
            <v>07/2025</v>
          </cell>
          <cell r="H892" t="str">
            <v>REVENDA</v>
          </cell>
          <cell r="K892">
            <v>379.37</v>
          </cell>
          <cell r="L892">
            <v>15.17</v>
          </cell>
        </row>
        <row r="893">
          <cell r="A893" t="str">
            <v>MULTI MADEIRAS</v>
          </cell>
          <cell r="B893" t="str">
            <v>09/2025</v>
          </cell>
          <cell r="H893" t="str">
            <v>REVENDA</v>
          </cell>
          <cell r="K893">
            <v>378.27</v>
          </cell>
          <cell r="L893">
            <v>41.26</v>
          </cell>
        </row>
        <row r="894">
          <cell r="A894" t="str">
            <v>MULTI MADEIRAS</v>
          </cell>
          <cell r="B894" t="str">
            <v>05/2025</v>
          </cell>
          <cell r="H894" t="str">
            <v>REVENDA</v>
          </cell>
          <cell r="K894">
            <v>378</v>
          </cell>
          <cell r="L894">
            <v>41.23</v>
          </cell>
        </row>
        <row r="895">
          <cell r="A895" t="str">
            <v>KI ANGELIM</v>
          </cell>
          <cell r="B895" t="str">
            <v>04/2025</v>
          </cell>
          <cell r="H895" t="str">
            <v>REVENDA</v>
          </cell>
          <cell r="K895">
            <v>377</v>
          </cell>
          <cell r="L895">
            <v>0</v>
          </cell>
        </row>
        <row r="896">
          <cell r="A896" t="str">
            <v>MULTI MADEIRAS</v>
          </cell>
          <cell r="B896" t="str">
            <v>06/2025</v>
          </cell>
          <cell r="H896" t="str">
            <v>REVENDA</v>
          </cell>
          <cell r="K896">
            <v>370.56</v>
          </cell>
          <cell r="L896">
            <v>44.47</v>
          </cell>
        </row>
        <row r="897">
          <cell r="A897" t="str">
            <v>MULTI MADEIRAS</v>
          </cell>
          <cell r="B897" t="str">
            <v>05/2025</v>
          </cell>
          <cell r="H897" t="str">
            <v>REVENDA</v>
          </cell>
          <cell r="K897">
            <v>370.2</v>
          </cell>
          <cell r="L897">
            <v>14.81</v>
          </cell>
        </row>
        <row r="898">
          <cell r="A898" t="str">
            <v>MULTI MADEIRAS</v>
          </cell>
          <cell r="B898" t="str">
            <v>09/2025</v>
          </cell>
          <cell r="H898" t="str">
            <v>REVENDA</v>
          </cell>
          <cell r="K898">
            <v>368.63</v>
          </cell>
          <cell r="L898">
            <v>44.24</v>
          </cell>
        </row>
        <row r="899">
          <cell r="A899" t="str">
            <v>MULTI MADEIRAS</v>
          </cell>
          <cell r="B899" t="str">
            <v>04/2025</v>
          </cell>
          <cell r="H899" t="str">
            <v>REVENDA</v>
          </cell>
          <cell r="K899">
            <v>361.15</v>
          </cell>
          <cell r="L899">
            <v>14.45</v>
          </cell>
        </row>
        <row r="900">
          <cell r="A900" t="str">
            <v>MULTI MADEIRAS</v>
          </cell>
          <cell r="B900" t="str">
            <v>08/2025</v>
          </cell>
          <cell r="H900" t="str">
            <v>REVENDA</v>
          </cell>
          <cell r="K900">
            <v>358.36</v>
          </cell>
          <cell r="L900">
            <v>14.33</v>
          </cell>
        </row>
        <row r="901">
          <cell r="A901" t="str">
            <v>MULTI MADEIRAS</v>
          </cell>
          <cell r="B901" t="str">
            <v>09/2025</v>
          </cell>
          <cell r="H901" t="str">
            <v>REVENDA</v>
          </cell>
          <cell r="K901">
            <v>355.18</v>
          </cell>
          <cell r="L901">
            <v>43.35</v>
          </cell>
        </row>
        <row r="902">
          <cell r="A902" t="str">
            <v>MULTI MADEIRAS</v>
          </cell>
          <cell r="B902" t="str">
            <v>04/2025</v>
          </cell>
          <cell r="H902" t="str">
            <v>REVENDA</v>
          </cell>
          <cell r="K902">
            <v>355.16</v>
          </cell>
          <cell r="L902">
            <v>42.62</v>
          </cell>
        </row>
        <row r="903">
          <cell r="A903" t="str">
            <v>MULTI MADEIRAS</v>
          </cell>
          <cell r="B903" t="str">
            <v>06/2025</v>
          </cell>
          <cell r="H903" t="str">
            <v>REVENDA</v>
          </cell>
          <cell r="K903">
            <v>355.16</v>
          </cell>
          <cell r="L903">
            <v>44.68</v>
          </cell>
        </row>
        <row r="904">
          <cell r="A904" t="str">
            <v>MULTI MADEIRAS</v>
          </cell>
          <cell r="B904" t="str">
            <v>04/2025</v>
          </cell>
          <cell r="H904" t="str">
            <v>REVENDA</v>
          </cell>
          <cell r="K904">
            <v>355.16</v>
          </cell>
          <cell r="L904">
            <v>42.62</v>
          </cell>
        </row>
        <row r="905">
          <cell r="A905" t="str">
            <v>MULTI MADEIRAS</v>
          </cell>
          <cell r="B905" t="str">
            <v>04/2025</v>
          </cell>
          <cell r="H905" t="str">
            <v>REVENDA</v>
          </cell>
          <cell r="K905">
            <v>355.16</v>
          </cell>
          <cell r="L905">
            <v>42.61</v>
          </cell>
        </row>
        <row r="906">
          <cell r="A906" t="str">
            <v>KI ANGELIM</v>
          </cell>
          <cell r="B906" t="str">
            <v>04/2025</v>
          </cell>
          <cell r="H906" t="str">
            <v>REVENDA</v>
          </cell>
          <cell r="K906">
            <v>350</v>
          </cell>
          <cell r="L906">
            <v>0</v>
          </cell>
        </row>
        <row r="907">
          <cell r="A907" t="str">
            <v>MULTI MADEIRAS</v>
          </cell>
          <cell r="B907" t="str">
            <v>05/2025</v>
          </cell>
          <cell r="H907" t="str">
            <v>REVENDA</v>
          </cell>
          <cell r="K907">
            <v>347.28</v>
          </cell>
          <cell r="L907">
            <v>41.67</v>
          </cell>
        </row>
        <row r="908">
          <cell r="A908" t="str">
            <v>MULTI MADEIRAS</v>
          </cell>
          <cell r="B908" t="str">
            <v>08/2025</v>
          </cell>
          <cell r="H908" t="str">
            <v>REVENDA</v>
          </cell>
          <cell r="K908">
            <v>346.88</v>
          </cell>
          <cell r="L908">
            <v>13.88</v>
          </cell>
        </row>
        <row r="909">
          <cell r="A909" t="str">
            <v>MULTI MADEIRAS</v>
          </cell>
          <cell r="B909" t="str">
            <v>05/2025</v>
          </cell>
          <cell r="H909" t="str">
            <v>REVENDA</v>
          </cell>
          <cell r="K909">
            <v>346.14</v>
          </cell>
          <cell r="L909">
            <v>37.770000000000003</v>
          </cell>
        </row>
        <row r="910">
          <cell r="A910" t="str">
            <v>MULTI MADEIRAS</v>
          </cell>
          <cell r="B910" t="str">
            <v>05/2025</v>
          </cell>
          <cell r="H910" t="str">
            <v>REVENDA</v>
          </cell>
          <cell r="K910">
            <v>345.63</v>
          </cell>
          <cell r="L910">
            <v>13.83</v>
          </cell>
        </row>
        <row r="911">
          <cell r="A911" t="str">
            <v>MULTI MADEIRAS</v>
          </cell>
          <cell r="B911" t="str">
            <v>05/2025</v>
          </cell>
          <cell r="H911" t="str">
            <v>REVENDA</v>
          </cell>
          <cell r="K911">
            <v>345.2</v>
          </cell>
          <cell r="L911">
            <v>13.81</v>
          </cell>
        </row>
        <row r="912">
          <cell r="A912" t="str">
            <v>MULTI MADEIRAS</v>
          </cell>
          <cell r="B912" t="str">
            <v>09/2025</v>
          </cell>
          <cell r="H912" t="str">
            <v>REVENDA</v>
          </cell>
          <cell r="K912">
            <v>344.84</v>
          </cell>
          <cell r="L912">
            <v>41.38</v>
          </cell>
        </row>
        <row r="913">
          <cell r="A913" t="str">
            <v>MULTI MADEIRAS</v>
          </cell>
          <cell r="B913" t="str">
            <v>04/2025</v>
          </cell>
          <cell r="H913" t="str">
            <v>REVENDA</v>
          </cell>
          <cell r="K913">
            <v>344.84</v>
          </cell>
          <cell r="L913">
            <v>41.38</v>
          </cell>
        </row>
        <row r="914">
          <cell r="A914" t="str">
            <v>MULTI MADEIRAS</v>
          </cell>
          <cell r="B914" t="str">
            <v>09/2025</v>
          </cell>
          <cell r="H914" t="str">
            <v>REVENDA</v>
          </cell>
          <cell r="K914">
            <v>342</v>
          </cell>
          <cell r="L914">
            <v>41.04</v>
          </cell>
        </row>
        <row r="915">
          <cell r="A915" t="str">
            <v>MULTI MADEIRAS</v>
          </cell>
          <cell r="B915" t="str">
            <v>06/2025</v>
          </cell>
          <cell r="H915" t="str">
            <v>REVENDA</v>
          </cell>
          <cell r="K915">
            <v>342</v>
          </cell>
          <cell r="L915">
            <v>41.04</v>
          </cell>
        </row>
        <row r="916">
          <cell r="A916" t="str">
            <v>MULTI MADEIRAS</v>
          </cell>
          <cell r="B916" t="str">
            <v>08/2025</v>
          </cell>
          <cell r="H916" t="str">
            <v>REVENDA</v>
          </cell>
          <cell r="K916">
            <v>342</v>
          </cell>
          <cell r="L916">
            <v>41.04</v>
          </cell>
        </row>
        <row r="917">
          <cell r="A917" t="str">
            <v>MULTI MADEIRAS</v>
          </cell>
          <cell r="B917" t="str">
            <v>07/2025</v>
          </cell>
          <cell r="H917" t="str">
            <v>REVENDA</v>
          </cell>
          <cell r="K917">
            <v>342</v>
          </cell>
          <cell r="L917">
            <v>41.04</v>
          </cell>
        </row>
        <row r="918">
          <cell r="A918" t="str">
            <v>MULTI MADEIRAS</v>
          </cell>
          <cell r="B918" t="str">
            <v>05/2025</v>
          </cell>
          <cell r="H918" t="str">
            <v>REVENDA</v>
          </cell>
          <cell r="K918">
            <v>339.75</v>
          </cell>
          <cell r="L918">
            <v>13.59</v>
          </cell>
        </row>
        <row r="919">
          <cell r="A919" t="str">
            <v>MULTI MADEIRAS</v>
          </cell>
          <cell r="B919" t="str">
            <v>05/2025</v>
          </cell>
          <cell r="H919" t="str">
            <v>REVENDA</v>
          </cell>
          <cell r="K919">
            <v>337</v>
          </cell>
          <cell r="L919">
            <v>13.48</v>
          </cell>
        </row>
        <row r="920">
          <cell r="A920" t="str">
            <v>MULTI MADEIRAS</v>
          </cell>
          <cell r="B920" t="str">
            <v>07/2025</v>
          </cell>
          <cell r="H920" t="str">
            <v>REVENDA</v>
          </cell>
          <cell r="K920">
            <v>331.44</v>
          </cell>
          <cell r="L920">
            <v>40.770000000000003</v>
          </cell>
        </row>
        <row r="921">
          <cell r="A921" t="str">
            <v>MULTI MADEIRAS</v>
          </cell>
          <cell r="B921" t="str">
            <v>04/2025</v>
          </cell>
          <cell r="H921" t="str">
            <v>REVENDA</v>
          </cell>
          <cell r="K921">
            <v>331.44</v>
          </cell>
          <cell r="L921">
            <v>39.770000000000003</v>
          </cell>
        </row>
        <row r="922">
          <cell r="A922" t="str">
            <v>MULTI MADEIRAS</v>
          </cell>
          <cell r="B922" t="str">
            <v>05/2025</v>
          </cell>
          <cell r="H922" t="str">
            <v>REVENDA</v>
          </cell>
          <cell r="K922">
            <v>329.58</v>
          </cell>
          <cell r="L922">
            <v>39.549999999999997</v>
          </cell>
        </row>
        <row r="923">
          <cell r="A923" t="str">
            <v>MULTI MADEIRAS</v>
          </cell>
          <cell r="B923" t="str">
            <v>05/2025</v>
          </cell>
          <cell r="H923" t="str">
            <v>REVENDA</v>
          </cell>
          <cell r="K923">
            <v>329.58</v>
          </cell>
          <cell r="L923">
            <v>39.549999999999997</v>
          </cell>
        </row>
        <row r="924">
          <cell r="A924" t="str">
            <v>MULTI MADEIRAS</v>
          </cell>
          <cell r="B924" t="str">
            <v>08/2025</v>
          </cell>
          <cell r="H924" t="str">
            <v>REVENDA</v>
          </cell>
          <cell r="K924">
            <v>324.60000000000002</v>
          </cell>
          <cell r="L924">
            <v>38.950000000000003</v>
          </cell>
        </row>
        <row r="925">
          <cell r="A925" t="str">
            <v>MULTI MADEIRAS</v>
          </cell>
          <cell r="B925" t="str">
            <v>07/2025</v>
          </cell>
          <cell r="H925" t="str">
            <v>REVENDA</v>
          </cell>
          <cell r="K925">
            <v>318.60000000000002</v>
          </cell>
          <cell r="L925">
            <v>39.19</v>
          </cell>
        </row>
        <row r="926">
          <cell r="A926" t="str">
            <v>MULTI MADEIRAS</v>
          </cell>
          <cell r="B926" t="str">
            <v>04/2025</v>
          </cell>
          <cell r="H926" t="str">
            <v>REVENDA</v>
          </cell>
          <cell r="K926">
            <v>318.60000000000002</v>
          </cell>
          <cell r="L926">
            <v>38.229999999999997</v>
          </cell>
        </row>
        <row r="927">
          <cell r="A927" t="str">
            <v>MULTI MADEIRAS</v>
          </cell>
          <cell r="B927" t="str">
            <v>08/2025</v>
          </cell>
          <cell r="H927" t="str">
            <v>REVENDA</v>
          </cell>
          <cell r="K927">
            <v>317.49</v>
          </cell>
          <cell r="L927">
            <v>38.22</v>
          </cell>
        </row>
        <row r="928">
          <cell r="A928" t="str">
            <v>MULTI MADEIRAS</v>
          </cell>
          <cell r="B928" t="str">
            <v>05/2025</v>
          </cell>
          <cell r="H928" t="str">
            <v>REVENDA</v>
          </cell>
          <cell r="K928">
            <v>315.2</v>
          </cell>
          <cell r="L928">
            <v>35.93</v>
          </cell>
        </row>
        <row r="929">
          <cell r="A929" t="str">
            <v>MULTI MADEIRAS</v>
          </cell>
          <cell r="B929" t="str">
            <v>05/2025</v>
          </cell>
          <cell r="H929" t="str">
            <v>REVENDA</v>
          </cell>
          <cell r="K929">
            <v>315.2</v>
          </cell>
          <cell r="L929">
            <v>35.93</v>
          </cell>
        </row>
        <row r="930">
          <cell r="A930" t="str">
            <v>MULTI MADEIRAS</v>
          </cell>
          <cell r="B930" t="str">
            <v>05/2025</v>
          </cell>
          <cell r="H930" t="str">
            <v>REVENDA</v>
          </cell>
          <cell r="K930">
            <v>315.2</v>
          </cell>
          <cell r="L930">
            <v>35.93</v>
          </cell>
        </row>
        <row r="931">
          <cell r="A931" t="str">
            <v>MULTI MADEIRAS</v>
          </cell>
          <cell r="B931" t="str">
            <v>05/2025</v>
          </cell>
          <cell r="H931" t="str">
            <v>REVENDA</v>
          </cell>
          <cell r="K931">
            <v>315.2</v>
          </cell>
          <cell r="L931">
            <v>35.93</v>
          </cell>
        </row>
        <row r="932">
          <cell r="A932" t="str">
            <v>MULTI MADEIRAS</v>
          </cell>
          <cell r="B932" t="str">
            <v>05/2025</v>
          </cell>
          <cell r="H932" t="str">
            <v>REVENDA</v>
          </cell>
          <cell r="K932">
            <v>313.64999999999998</v>
          </cell>
          <cell r="L932">
            <v>12.55</v>
          </cell>
        </row>
        <row r="933">
          <cell r="A933" t="str">
            <v>MULTI MADEIRAS</v>
          </cell>
          <cell r="B933" t="str">
            <v>09/2025</v>
          </cell>
          <cell r="H933" t="str">
            <v>REVENDA</v>
          </cell>
          <cell r="K933">
            <v>313.02</v>
          </cell>
          <cell r="L933">
            <v>34.15</v>
          </cell>
        </row>
        <row r="934">
          <cell r="A934" t="str">
            <v>MULTI MADEIRAS</v>
          </cell>
          <cell r="B934" t="str">
            <v>07/2025</v>
          </cell>
          <cell r="H934" t="str">
            <v>REVENDA</v>
          </cell>
          <cell r="K934">
            <v>310</v>
          </cell>
          <cell r="L934">
            <v>37.200000000000003</v>
          </cell>
        </row>
        <row r="935">
          <cell r="A935" t="str">
            <v>MULTI MADEIRAS</v>
          </cell>
          <cell r="B935" t="str">
            <v>07/2025</v>
          </cell>
          <cell r="H935" t="str">
            <v>REVENDA</v>
          </cell>
          <cell r="K935">
            <v>301.86</v>
          </cell>
          <cell r="L935">
            <v>32.92</v>
          </cell>
        </row>
        <row r="936">
          <cell r="A936" t="str">
            <v>MULTI MADEIRAS</v>
          </cell>
          <cell r="B936" t="str">
            <v>05/2025</v>
          </cell>
          <cell r="H936" t="str">
            <v>REVENDA</v>
          </cell>
          <cell r="K936">
            <v>301.86</v>
          </cell>
          <cell r="L936">
            <v>32.93</v>
          </cell>
        </row>
        <row r="937">
          <cell r="A937" t="str">
            <v>MULTI MADEIRAS</v>
          </cell>
          <cell r="B937" t="str">
            <v>06/2025</v>
          </cell>
          <cell r="H937" t="str">
            <v>REVENDA</v>
          </cell>
          <cell r="K937">
            <v>301.76</v>
          </cell>
          <cell r="L937">
            <v>37.96</v>
          </cell>
        </row>
        <row r="938">
          <cell r="A938" t="str">
            <v>MULTI MADEIRAS</v>
          </cell>
          <cell r="B938" t="str">
            <v>04/2025</v>
          </cell>
          <cell r="H938" t="str">
            <v>REVENDA</v>
          </cell>
          <cell r="K938">
            <v>301.76</v>
          </cell>
          <cell r="L938">
            <v>36.21</v>
          </cell>
        </row>
        <row r="939">
          <cell r="A939" t="str">
            <v>MULTI MADEIRAS</v>
          </cell>
          <cell r="B939" t="str">
            <v>09/2025</v>
          </cell>
          <cell r="H939" t="str">
            <v>REVENDA</v>
          </cell>
          <cell r="K939">
            <v>299.76</v>
          </cell>
          <cell r="L939">
            <v>11.99</v>
          </cell>
        </row>
        <row r="940">
          <cell r="A940" t="str">
            <v>MULTI MADEIRAS</v>
          </cell>
          <cell r="B940" t="str">
            <v>05/2025</v>
          </cell>
          <cell r="H940" t="str">
            <v>REVENDA</v>
          </cell>
          <cell r="K940">
            <v>295.2</v>
          </cell>
          <cell r="L940">
            <v>35.42</v>
          </cell>
        </row>
        <row r="941">
          <cell r="A941" t="str">
            <v>MULTI MADEIRAS</v>
          </cell>
          <cell r="B941" t="str">
            <v>04/2025</v>
          </cell>
          <cell r="H941" t="str">
            <v>REVENDA</v>
          </cell>
          <cell r="K941">
            <v>294.76</v>
          </cell>
          <cell r="L941">
            <v>11.79</v>
          </cell>
        </row>
        <row r="942">
          <cell r="A942" t="str">
            <v>MULTI MADEIRAS</v>
          </cell>
          <cell r="B942" t="str">
            <v>07/2025</v>
          </cell>
          <cell r="H942" t="str">
            <v>REVENDA</v>
          </cell>
          <cell r="K942">
            <v>292.56</v>
          </cell>
          <cell r="L942">
            <v>35.979999999999997</v>
          </cell>
        </row>
        <row r="943">
          <cell r="A943" t="str">
            <v>MULTI MADEIRAS</v>
          </cell>
          <cell r="B943" t="str">
            <v>06/2025</v>
          </cell>
          <cell r="H943" t="str">
            <v>REVENDA</v>
          </cell>
          <cell r="K943">
            <v>291.2</v>
          </cell>
          <cell r="L943">
            <v>36.630000000000003</v>
          </cell>
        </row>
        <row r="944">
          <cell r="A944" t="str">
            <v>MULTI MADEIRAS</v>
          </cell>
          <cell r="B944" t="str">
            <v>05/2025</v>
          </cell>
          <cell r="H944" t="str">
            <v>REVENDA</v>
          </cell>
          <cell r="K944">
            <v>285.83999999999997</v>
          </cell>
          <cell r="L944">
            <v>11.43</v>
          </cell>
        </row>
        <row r="945">
          <cell r="A945" t="str">
            <v>MULTI MADEIRAS</v>
          </cell>
          <cell r="B945" t="str">
            <v>08/2025</v>
          </cell>
          <cell r="H945" t="str">
            <v>REVENDA</v>
          </cell>
          <cell r="K945">
            <v>282.95999999999998</v>
          </cell>
          <cell r="L945">
            <v>12.64</v>
          </cell>
        </row>
        <row r="946">
          <cell r="A946" t="str">
            <v>MULTI MADEIRAS</v>
          </cell>
          <cell r="B946" t="str">
            <v>05/2025</v>
          </cell>
          <cell r="H946" t="str">
            <v>REVENDA</v>
          </cell>
          <cell r="K946">
            <v>282</v>
          </cell>
          <cell r="L946">
            <v>32.15</v>
          </cell>
        </row>
        <row r="947">
          <cell r="A947" t="str">
            <v>MULTI MADEIRAS</v>
          </cell>
          <cell r="B947" t="str">
            <v>05/2025</v>
          </cell>
          <cell r="H947" t="str">
            <v>REVENDA</v>
          </cell>
          <cell r="K947">
            <v>280.12</v>
          </cell>
          <cell r="L947">
            <v>11.2</v>
          </cell>
        </row>
        <row r="948">
          <cell r="A948" t="str">
            <v>MULTI MADEIRAS</v>
          </cell>
          <cell r="B948" t="str">
            <v>05/2025</v>
          </cell>
          <cell r="H948" t="str">
            <v>REVENDA</v>
          </cell>
          <cell r="K948">
            <v>278.66000000000003</v>
          </cell>
          <cell r="L948">
            <v>30.4</v>
          </cell>
        </row>
        <row r="949">
          <cell r="A949" t="str">
            <v>MULTI MADEIRAS</v>
          </cell>
          <cell r="B949" t="str">
            <v>09/2025</v>
          </cell>
          <cell r="H949" t="str">
            <v>REVENDA</v>
          </cell>
          <cell r="K949">
            <v>276.52999999999997</v>
          </cell>
          <cell r="L949">
            <v>11.06</v>
          </cell>
        </row>
        <row r="950">
          <cell r="A950" t="str">
            <v>MULTI MADEIRAS</v>
          </cell>
          <cell r="B950" t="str">
            <v>07/2025</v>
          </cell>
          <cell r="H950" t="str">
            <v>REVENDA</v>
          </cell>
          <cell r="K950">
            <v>276.01</v>
          </cell>
          <cell r="L950">
            <v>11.04</v>
          </cell>
        </row>
        <row r="951">
          <cell r="A951" t="str">
            <v>MULTI MADEIRAS</v>
          </cell>
          <cell r="B951" t="str">
            <v>05/2025</v>
          </cell>
          <cell r="H951" t="str">
            <v>REVENDA</v>
          </cell>
          <cell r="K951">
            <v>276</v>
          </cell>
          <cell r="L951">
            <v>31.46</v>
          </cell>
        </row>
        <row r="952">
          <cell r="A952" t="str">
            <v>MULTI MADEIRAS</v>
          </cell>
          <cell r="B952" t="str">
            <v>05/2025</v>
          </cell>
          <cell r="H952" t="str">
            <v>REVENDA</v>
          </cell>
          <cell r="K952">
            <v>276</v>
          </cell>
          <cell r="L952">
            <v>31.46</v>
          </cell>
        </row>
        <row r="953">
          <cell r="A953" t="str">
            <v>MULTI MADEIRAS</v>
          </cell>
          <cell r="B953" t="str">
            <v>09/2025</v>
          </cell>
          <cell r="H953" t="str">
            <v>REVENDA</v>
          </cell>
          <cell r="K953">
            <v>274.7</v>
          </cell>
          <cell r="L953">
            <v>32.96</v>
          </cell>
        </row>
        <row r="954">
          <cell r="A954" t="str">
            <v>MULTI MADEIRAS</v>
          </cell>
          <cell r="B954" t="str">
            <v>06/2025</v>
          </cell>
          <cell r="H954" t="str">
            <v>REVENDA</v>
          </cell>
          <cell r="K954">
            <v>274.3</v>
          </cell>
          <cell r="L954">
            <v>32.92</v>
          </cell>
        </row>
        <row r="955">
          <cell r="A955" t="str">
            <v>MULTI MADEIRAS</v>
          </cell>
          <cell r="B955" t="str">
            <v>09/2025</v>
          </cell>
          <cell r="H955" t="str">
            <v>REVENDA</v>
          </cell>
          <cell r="K955">
            <v>273.76</v>
          </cell>
          <cell r="L955">
            <v>32.85</v>
          </cell>
        </row>
        <row r="956">
          <cell r="A956" t="str">
            <v>MULTI MADEIRAS</v>
          </cell>
          <cell r="B956" t="str">
            <v>05/2025</v>
          </cell>
          <cell r="H956" t="str">
            <v>REVENDA</v>
          </cell>
          <cell r="K956">
            <v>273.24</v>
          </cell>
          <cell r="L956">
            <v>29.82</v>
          </cell>
        </row>
        <row r="957">
          <cell r="A957" t="str">
            <v>MULTI MADEIRAS</v>
          </cell>
          <cell r="B957" t="str">
            <v>05/2025</v>
          </cell>
          <cell r="H957" t="str">
            <v>REVENDA</v>
          </cell>
          <cell r="K957">
            <v>269.64</v>
          </cell>
          <cell r="L957">
            <v>32.36</v>
          </cell>
        </row>
        <row r="958">
          <cell r="A958" t="str">
            <v>MULTI MADEIRAS</v>
          </cell>
          <cell r="B958" t="str">
            <v>08/2025</v>
          </cell>
          <cell r="H958" t="str">
            <v>REVENDA</v>
          </cell>
          <cell r="K958">
            <v>267.35000000000002</v>
          </cell>
          <cell r="L958">
            <v>32.08</v>
          </cell>
        </row>
        <row r="959">
          <cell r="A959" t="str">
            <v>MULTI MADEIRAS</v>
          </cell>
          <cell r="B959" t="str">
            <v>09/2025</v>
          </cell>
          <cell r="H959" t="str">
            <v>REVENDA</v>
          </cell>
          <cell r="K959">
            <v>265.60000000000002</v>
          </cell>
          <cell r="L959">
            <v>10.62</v>
          </cell>
        </row>
        <row r="960">
          <cell r="A960" t="str">
            <v>MULTI MADEIRAS</v>
          </cell>
          <cell r="B960" t="str">
            <v>07/2025</v>
          </cell>
          <cell r="H960" t="str">
            <v>REVENDA</v>
          </cell>
          <cell r="K960">
            <v>265.10000000000002</v>
          </cell>
          <cell r="L960">
            <v>31.81</v>
          </cell>
        </row>
        <row r="961">
          <cell r="A961" t="str">
            <v>MULTI MADEIRAS</v>
          </cell>
          <cell r="B961" t="str">
            <v>08/2025</v>
          </cell>
          <cell r="H961" t="str">
            <v>REVENDA</v>
          </cell>
          <cell r="K961">
            <v>263.39999999999998</v>
          </cell>
          <cell r="L961">
            <v>11.41</v>
          </cell>
        </row>
        <row r="962">
          <cell r="A962" t="str">
            <v>KI ANGELIM</v>
          </cell>
          <cell r="B962" t="str">
            <v>04/2025</v>
          </cell>
          <cell r="H962" t="str">
            <v>REVENDA</v>
          </cell>
          <cell r="K962">
            <v>260</v>
          </cell>
          <cell r="L962">
            <v>0</v>
          </cell>
        </row>
        <row r="963">
          <cell r="A963" t="str">
            <v>MULTI MADEIRAS</v>
          </cell>
          <cell r="B963" t="str">
            <v>05/2025</v>
          </cell>
          <cell r="H963" t="str">
            <v>REVENDA</v>
          </cell>
          <cell r="K963">
            <v>259.72000000000003</v>
          </cell>
          <cell r="L963">
            <v>31.17</v>
          </cell>
        </row>
        <row r="964">
          <cell r="A964" t="str">
            <v>MULTI MADEIRAS</v>
          </cell>
          <cell r="B964" t="str">
            <v>05/2025</v>
          </cell>
          <cell r="H964" t="str">
            <v>REVENDA</v>
          </cell>
          <cell r="K964">
            <v>259.2</v>
          </cell>
          <cell r="L964">
            <v>10.37</v>
          </cell>
        </row>
        <row r="965">
          <cell r="A965" t="str">
            <v>MULTI MADEIRAS</v>
          </cell>
          <cell r="B965" t="str">
            <v>05/2025</v>
          </cell>
          <cell r="H965" t="str">
            <v>REVENDA</v>
          </cell>
          <cell r="K965">
            <v>259.10000000000002</v>
          </cell>
          <cell r="L965">
            <v>10.36</v>
          </cell>
        </row>
        <row r="966">
          <cell r="A966" t="str">
            <v>MULTI MADEIRAS</v>
          </cell>
          <cell r="B966" t="str">
            <v>08/2025</v>
          </cell>
          <cell r="H966" t="str">
            <v>REVENDA</v>
          </cell>
          <cell r="K966">
            <v>259</v>
          </cell>
          <cell r="L966">
            <v>10.36</v>
          </cell>
        </row>
        <row r="967">
          <cell r="A967" t="str">
            <v>MULTI MADEIRAS</v>
          </cell>
          <cell r="B967" t="str">
            <v>05/2025</v>
          </cell>
          <cell r="H967" t="str">
            <v>REVENDA</v>
          </cell>
          <cell r="K967">
            <v>259</v>
          </cell>
          <cell r="L967">
            <v>10.36</v>
          </cell>
        </row>
        <row r="968">
          <cell r="A968" t="str">
            <v>MULTI MADEIRAS</v>
          </cell>
          <cell r="B968" t="str">
            <v>05/2025</v>
          </cell>
          <cell r="H968" t="str">
            <v>REVENDA</v>
          </cell>
          <cell r="K968">
            <v>256.68</v>
          </cell>
          <cell r="L968">
            <v>30.8</v>
          </cell>
        </row>
        <row r="969">
          <cell r="A969" t="str">
            <v>MULTI MADEIRAS</v>
          </cell>
          <cell r="B969" t="str">
            <v>07/2025</v>
          </cell>
          <cell r="H969" t="str">
            <v>REVENDA</v>
          </cell>
          <cell r="K969">
            <v>255.96</v>
          </cell>
          <cell r="L969">
            <v>31.48</v>
          </cell>
        </row>
        <row r="970">
          <cell r="A970" t="str">
            <v>MULTI MADEIRAS</v>
          </cell>
          <cell r="B970" t="str">
            <v>08/2025</v>
          </cell>
          <cell r="H970" t="str">
            <v>REVENDA</v>
          </cell>
          <cell r="K970">
            <v>255.21</v>
          </cell>
          <cell r="L970">
            <v>30.63</v>
          </cell>
        </row>
        <row r="971">
          <cell r="A971" t="str">
            <v>MULTI MADEIRAS</v>
          </cell>
          <cell r="B971" t="str">
            <v>09/2025</v>
          </cell>
          <cell r="H971" t="str">
            <v>REVENDA</v>
          </cell>
          <cell r="K971">
            <v>253.7</v>
          </cell>
          <cell r="L971">
            <v>30.96</v>
          </cell>
        </row>
        <row r="972">
          <cell r="A972" t="str">
            <v>MULTI MADEIRAS</v>
          </cell>
          <cell r="B972" t="str">
            <v>08/2025</v>
          </cell>
          <cell r="H972" t="str">
            <v>REVENDA</v>
          </cell>
          <cell r="K972">
            <v>252.6</v>
          </cell>
          <cell r="L972">
            <v>10.1</v>
          </cell>
        </row>
        <row r="973">
          <cell r="A973" t="str">
            <v>MULTI MADEIRAS</v>
          </cell>
          <cell r="B973" t="str">
            <v>05/2025</v>
          </cell>
          <cell r="H973" t="str">
            <v>REVENDA</v>
          </cell>
          <cell r="K973">
            <v>252.18</v>
          </cell>
          <cell r="L973">
            <v>27.52</v>
          </cell>
        </row>
        <row r="974">
          <cell r="A974" t="str">
            <v>MULTI MADEIRAS</v>
          </cell>
          <cell r="B974" t="str">
            <v>05/2025</v>
          </cell>
          <cell r="H974" t="str">
            <v>REVENDA</v>
          </cell>
          <cell r="K974">
            <v>252</v>
          </cell>
          <cell r="L974">
            <v>28.73</v>
          </cell>
        </row>
        <row r="975">
          <cell r="A975" t="str">
            <v>MULTI MADEIRAS</v>
          </cell>
          <cell r="B975" t="str">
            <v>06/2025</v>
          </cell>
          <cell r="H975" t="str">
            <v>REVENDA</v>
          </cell>
          <cell r="K975">
            <v>252</v>
          </cell>
          <cell r="L975">
            <v>28.73</v>
          </cell>
        </row>
        <row r="976">
          <cell r="A976" t="str">
            <v>MULTI MADEIRAS</v>
          </cell>
          <cell r="B976" t="str">
            <v>07/2025</v>
          </cell>
          <cell r="H976" t="str">
            <v>REVENDA</v>
          </cell>
          <cell r="K976">
            <v>251.6</v>
          </cell>
          <cell r="L976">
            <v>27.45</v>
          </cell>
        </row>
        <row r="977">
          <cell r="A977" t="str">
            <v>MULTI MADEIRAS</v>
          </cell>
          <cell r="B977" t="str">
            <v>07/2025</v>
          </cell>
          <cell r="H977" t="str">
            <v>REVENDA</v>
          </cell>
          <cell r="K977">
            <v>251.22</v>
          </cell>
          <cell r="L977">
            <v>30.14</v>
          </cell>
        </row>
        <row r="978">
          <cell r="A978" t="str">
            <v>MULTI MADEIRAS</v>
          </cell>
          <cell r="B978" t="str">
            <v>04/2025</v>
          </cell>
          <cell r="H978" t="str">
            <v>REVENDA</v>
          </cell>
          <cell r="K978">
            <v>251.16</v>
          </cell>
          <cell r="L978">
            <v>10.050000000000001</v>
          </cell>
        </row>
        <row r="979">
          <cell r="A979" t="str">
            <v>MULTI MADEIRAS</v>
          </cell>
          <cell r="B979" t="str">
            <v>04/2025</v>
          </cell>
          <cell r="H979" t="str">
            <v>REVENDA</v>
          </cell>
          <cell r="K979">
            <v>250.71</v>
          </cell>
          <cell r="L979">
            <v>10.029999999999999</v>
          </cell>
        </row>
        <row r="980">
          <cell r="A980" t="str">
            <v>MULTI MADEIRAS</v>
          </cell>
          <cell r="B980" t="str">
            <v>04/2025</v>
          </cell>
          <cell r="H980" t="str">
            <v>REVENDA</v>
          </cell>
          <cell r="K980">
            <v>250.5</v>
          </cell>
          <cell r="L980">
            <v>10.02</v>
          </cell>
        </row>
        <row r="981">
          <cell r="A981" t="str">
            <v>MULTI MADEIRAS</v>
          </cell>
          <cell r="B981" t="str">
            <v>05/2025</v>
          </cell>
          <cell r="H981" t="str">
            <v>REVENDA</v>
          </cell>
          <cell r="K981">
            <v>249.9</v>
          </cell>
          <cell r="L981">
            <v>10</v>
          </cell>
        </row>
        <row r="982">
          <cell r="A982" t="str">
            <v>MULTI MADEIRAS</v>
          </cell>
          <cell r="B982" t="str">
            <v>05/2025</v>
          </cell>
          <cell r="H982" t="str">
            <v>REVENDA</v>
          </cell>
          <cell r="K982">
            <v>249.75</v>
          </cell>
          <cell r="L982">
            <v>9.99</v>
          </cell>
        </row>
        <row r="983">
          <cell r="A983" t="str">
            <v>MULTI MADEIRAS</v>
          </cell>
          <cell r="B983" t="str">
            <v>07/2025</v>
          </cell>
          <cell r="H983" t="str">
            <v>REVENDA</v>
          </cell>
          <cell r="K983">
            <v>248.7</v>
          </cell>
          <cell r="L983">
            <v>9.9499999999999993</v>
          </cell>
        </row>
        <row r="984">
          <cell r="A984" t="str">
            <v>MULTI MADEIRAS</v>
          </cell>
          <cell r="B984" t="str">
            <v>06/2025</v>
          </cell>
          <cell r="H984" t="str">
            <v>REVENDA</v>
          </cell>
          <cell r="K984">
            <v>247.04</v>
          </cell>
          <cell r="L984">
            <v>29.64</v>
          </cell>
        </row>
        <row r="985">
          <cell r="A985" t="str">
            <v>MULTI MADEIRAS</v>
          </cell>
          <cell r="B985" t="str">
            <v>07/2025</v>
          </cell>
          <cell r="H985" t="str">
            <v>REVENDA</v>
          </cell>
          <cell r="K985">
            <v>245</v>
          </cell>
          <cell r="L985">
            <v>29.4</v>
          </cell>
        </row>
        <row r="986">
          <cell r="A986" t="str">
            <v>MULTI MADEIRAS</v>
          </cell>
          <cell r="B986" t="str">
            <v>09/2025</v>
          </cell>
          <cell r="H986" t="str">
            <v>REVENDA</v>
          </cell>
          <cell r="K986">
            <v>240.48</v>
          </cell>
          <cell r="L986">
            <v>28.86</v>
          </cell>
        </row>
        <row r="987">
          <cell r="A987" t="str">
            <v>MULTI MADEIRAS</v>
          </cell>
          <cell r="B987" t="str">
            <v>06/2025</v>
          </cell>
          <cell r="H987" t="str">
            <v>REVENDA</v>
          </cell>
          <cell r="K987">
            <v>240</v>
          </cell>
          <cell r="L987">
            <v>28.8</v>
          </cell>
        </row>
        <row r="988">
          <cell r="A988" t="str">
            <v>MULTI MADEIRAS</v>
          </cell>
          <cell r="B988" t="str">
            <v>06/2025</v>
          </cell>
          <cell r="H988" t="str">
            <v>REVENDA</v>
          </cell>
          <cell r="K988">
            <v>240</v>
          </cell>
          <cell r="L988">
            <v>28.8</v>
          </cell>
        </row>
        <row r="989">
          <cell r="A989" t="str">
            <v>MULTI MADEIRAS</v>
          </cell>
          <cell r="B989" t="str">
            <v>07/2025</v>
          </cell>
          <cell r="H989" t="str">
            <v>REVENDA</v>
          </cell>
          <cell r="K989">
            <v>239.16</v>
          </cell>
          <cell r="L989">
            <v>29.42</v>
          </cell>
        </row>
        <row r="990">
          <cell r="A990" t="str">
            <v>MULTI MADEIRAS</v>
          </cell>
          <cell r="B990" t="str">
            <v>06/2025</v>
          </cell>
          <cell r="H990" t="str">
            <v>REVENDA</v>
          </cell>
          <cell r="K990">
            <v>239.16</v>
          </cell>
          <cell r="L990">
            <v>30.09</v>
          </cell>
        </row>
        <row r="991">
          <cell r="A991" t="str">
            <v>MULTI MADEIRAS</v>
          </cell>
          <cell r="B991" t="str">
            <v>04/2025</v>
          </cell>
          <cell r="H991" t="str">
            <v>REVENDA</v>
          </cell>
          <cell r="K991">
            <v>239.16</v>
          </cell>
          <cell r="L991">
            <v>28.7</v>
          </cell>
        </row>
        <row r="992">
          <cell r="A992" t="str">
            <v>MULTI MADEIRAS</v>
          </cell>
          <cell r="B992" t="str">
            <v>05/2025</v>
          </cell>
          <cell r="H992" t="str">
            <v>REVENDA</v>
          </cell>
          <cell r="K992">
            <v>238.68</v>
          </cell>
          <cell r="L992">
            <v>28.64</v>
          </cell>
        </row>
        <row r="993">
          <cell r="A993" t="str">
            <v>MULTI MADEIRAS</v>
          </cell>
          <cell r="B993" t="str">
            <v>08/2025</v>
          </cell>
          <cell r="H993" t="str">
            <v>REVENDA</v>
          </cell>
          <cell r="K993">
            <v>237.59</v>
          </cell>
          <cell r="L993">
            <v>9.5</v>
          </cell>
        </row>
        <row r="994">
          <cell r="A994" t="str">
            <v>MULTI MADEIRAS</v>
          </cell>
          <cell r="B994" t="str">
            <v>09/2025</v>
          </cell>
          <cell r="H994" t="str">
            <v>REVENDA</v>
          </cell>
          <cell r="K994">
            <v>236.97</v>
          </cell>
          <cell r="L994">
            <v>9.48</v>
          </cell>
        </row>
        <row r="995">
          <cell r="A995" t="str">
            <v>MULTI MADEIRAS</v>
          </cell>
          <cell r="B995" t="str">
            <v>08/2025</v>
          </cell>
          <cell r="H995" t="str">
            <v>REVENDA</v>
          </cell>
          <cell r="K995">
            <v>236.26</v>
          </cell>
          <cell r="L995">
            <v>28.35</v>
          </cell>
        </row>
        <row r="996">
          <cell r="A996" t="str">
            <v>MULTI MADEIRAS</v>
          </cell>
          <cell r="B996" t="str">
            <v>09/2025</v>
          </cell>
          <cell r="H996" t="str">
            <v>REVENDA</v>
          </cell>
          <cell r="K996">
            <v>234.81</v>
          </cell>
          <cell r="L996">
            <v>28.65</v>
          </cell>
        </row>
        <row r="997">
          <cell r="A997" t="str">
            <v>MULTI MADEIRAS</v>
          </cell>
          <cell r="B997" t="str">
            <v>08/2025</v>
          </cell>
          <cell r="H997" t="str">
            <v>REVENDA</v>
          </cell>
          <cell r="K997">
            <v>233.13</v>
          </cell>
          <cell r="L997">
            <v>9.33</v>
          </cell>
        </row>
        <row r="998">
          <cell r="A998" t="str">
            <v>MULTI MADEIRAS</v>
          </cell>
          <cell r="B998" t="str">
            <v>06/2025</v>
          </cell>
          <cell r="H998" t="str">
            <v>REVENDA</v>
          </cell>
          <cell r="K998">
            <v>230</v>
          </cell>
          <cell r="L998">
            <v>27.6</v>
          </cell>
        </row>
        <row r="999">
          <cell r="A999" t="str">
            <v>MULTI MADEIRAS</v>
          </cell>
          <cell r="B999" t="str">
            <v>07/2025</v>
          </cell>
          <cell r="H999" t="str">
            <v>REVENDA</v>
          </cell>
          <cell r="K999">
            <v>227.88</v>
          </cell>
          <cell r="L999">
            <v>24.86</v>
          </cell>
        </row>
        <row r="1000">
          <cell r="A1000" t="str">
            <v>MULTI MADEIRAS</v>
          </cell>
          <cell r="B1000" t="str">
            <v>05/2025</v>
          </cell>
          <cell r="H1000" t="str">
            <v>REVENDA</v>
          </cell>
          <cell r="K1000">
            <v>227.88</v>
          </cell>
          <cell r="L1000">
            <v>24.87</v>
          </cell>
        </row>
        <row r="1001">
          <cell r="A1001" t="str">
            <v>MULTI MADEIRAS</v>
          </cell>
          <cell r="B1001" t="str">
            <v>05/2025</v>
          </cell>
          <cell r="H1001" t="str">
            <v>REVENDA</v>
          </cell>
          <cell r="K1001">
            <v>226.8</v>
          </cell>
          <cell r="L1001">
            <v>24.75</v>
          </cell>
        </row>
        <row r="1002">
          <cell r="A1002" t="str">
            <v>MULTI MADEIRAS</v>
          </cell>
          <cell r="B1002" t="str">
            <v>07/2025</v>
          </cell>
          <cell r="H1002" t="str">
            <v>REVENDA</v>
          </cell>
          <cell r="K1002">
            <v>225.45</v>
          </cell>
          <cell r="L1002">
            <v>24.59</v>
          </cell>
        </row>
        <row r="1003">
          <cell r="A1003" t="str">
            <v>MULTI MADEIRAS</v>
          </cell>
          <cell r="B1003" t="str">
            <v>07/2025</v>
          </cell>
          <cell r="H1003" t="str">
            <v>REVENDA</v>
          </cell>
          <cell r="K1003">
            <v>220</v>
          </cell>
          <cell r="L1003">
            <v>26.4</v>
          </cell>
        </row>
        <row r="1004">
          <cell r="A1004" t="str">
            <v>MULTI MADEIRAS</v>
          </cell>
          <cell r="B1004" t="str">
            <v>06/2025</v>
          </cell>
          <cell r="H1004" t="str">
            <v>REVENDA</v>
          </cell>
          <cell r="K1004">
            <v>218.66</v>
          </cell>
          <cell r="L1004">
            <v>27.51</v>
          </cell>
        </row>
        <row r="1005">
          <cell r="A1005" t="str">
            <v>MULTI MADEIRAS</v>
          </cell>
          <cell r="B1005" t="str">
            <v>04/2025</v>
          </cell>
          <cell r="H1005" t="str">
            <v>REVENDA</v>
          </cell>
          <cell r="K1005">
            <v>218.66</v>
          </cell>
          <cell r="L1005">
            <v>26.24</v>
          </cell>
        </row>
        <row r="1006">
          <cell r="A1006" t="str">
            <v>MULTI MADEIRAS</v>
          </cell>
          <cell r="B1006" t="str">
            <v>05/2025</v>
          </cell>
          <cell r="H1006" t="str">
            <v>REVENDA</v>
          </cell>
          <cell r="K1006">
            <v>217.68</v>
          </cell>
          <cell r="L1006">
            <v>8.9499999999999993</v>
          </cell>
        </row>
        <row r="1007">
          <cell r="A1007" t="str">
            <v>MULTI MADEIRAS</v>
          </cell>
          <cell r="B1007" t="str">
            <v>08/2025</v>
          </cell>
          <cell r="H1007" t="str">
            <v>REVENDA</v>
          </cell>
          <cell r="K1007">
            <v>217.49</v>
          </cell>
          <cell r="L1007">
            <v>26.1</v>
          </cell>
        </row>
        <row r="1008">
          <cell r="A1008" t="str">
            <v>MULTI MADEIRAS</v>
          </cell>
          <cell r="B1008" t="str">
            <v>08/2025</v>
          </cell>
          <cell r="H1008" t="str">
            <v>REVENDA</v>
          </cell>
          <cell r="K1008">
            <v>217.35</v>
          </cell>
          <cell r="L1008">
            <v>9.42</v>
          </cell>
        </row>
        <row r="1009">
          <cell r="A1009" t="str">
            <v>MULTI MADEIRAS</v>
          </cell>
          <cell r="B1009" t="str">
            <v>07/2025</v>
          </cell>
          <cell r="H1009" t="str">
            <v>REVENDA</v>
          </cell>
          <cell r="K1009">
            <v>215.62</v>
          </cell>
          <cell r="L1009">
            <v>8.6199999999999992</v>
          </cell>
        </row>
        <row r="1010">
          <cell r="A1010" t="str">
            <v>MULTI MADEIRAS</v>
          </cell>
          <cell r="B1010" t="str">
            <v>04/2025</v>
          </cell>
          <cell r="H1010" t="str">
            <v>REVENDA</v>
          </cell>
          <cell r="K1010">
            <v>215.55</v>
          </cell>
          <cell r="L1010">
            <v>8.6199999999999992</v>
          </cell>
        </row>
        <row r="1011">
          <cell r="A1011" t="str">
            <v>MULTI MADEIRAS</v>
          </cell>
          <cell r="B1011" t="str">
            <v>05/2025</v>
          </cell>
          <cell r="H1011" t="str">
            <v>REVENDA</v>
          </cell>
          <cell r="K1011">
            <v>214.2</v>
          </cell>
          <cell r="L1011">
            <v>25.7</v>
          </cell>
        </row>
        <row r="1012">
          <cell r="A1012" t="str">
            <v>MULTI MADEIRAS</v>
          </cell>
          <cell r="B1012" t="str">
            <v>05/2025</v>
          </cell>
          <cell r="H1012" t="str">
            <v>REVENDA</v>
          </cell>
          <cell r="K1012">
            <v>214.2</v>
          </cell>
          <cell r="L1012">
            <v>25.7</v>
          </cell>
        </row>
        <row r="1013">
          <cell r="A1013" t="str">
            <v>MULTI MADEIRAS</v>
          </cell>
          <cell r="B1013" t="str">
            <v>07/2025</v>
          </cell>
          <cell r="H1013" t="str">
            <v>REVENDA</v>
          </cell>
          <cell r="K1013">
            <v>213</v>
          </cell>
          <cell r="L1013">
            <v>42.6</v>
          </cell>
        </row>
        <row r="1014">
          <cell r="A1014" t="str">
            <v>MULTI MADEIRAS</v>
          </cell>
          <cell r="B1014" t="str">
            <v>09/2025</v>
          </cell>
          <cell r="H1014" t="str">
            <v>REVENDA</v>
          </cell>
          <cell r="K1014">
            <v>211.15</v>
          </cell>
          <cell r="L1014">
            <v>8.4499999999999993</v>
          </cell>
        </row>
        <row r="1015">
          <cell r="A1015" t="str">
            <v>MULTI MADEIRAS</v>
          </cell>
          <cell r="B1015" t="str">
            <v>08/2025</v>
          </cell>
          <cell r="H1015" t="str">
            <v>REVENDA</v>
          </cell>
          <cell r="K1015">
            <v>210.62</v>
          </cell>
          <cell r="L1015">
            <v>8.42</v>
          </cell>
        </row>
        <row r="1016">
          <cell r="A1016" t="str">
            <v>MULTI MADEIRAS</v>
          </cell>
          <cell r="B1016" t="str">
            <v>09/2025</v>
          </cell>
          <cell r="H1016" t="str">
            <v>REVENDA</v>
          </cell>
          <cell r="K1016">
            <v>210.4</v>
          </cell>
          <cell r="L1016">
            <v>0</v>
          </cell>
        </row>
        <row r="1017">
          <cell r="A1017" t="str">
            <v>MULTI MADEIRAS</v>
          </cell>
          <cell r="B1017" t="str">
            <v>08/2025</v>
          </cell>
          <cell r="H1017" t="str">
            <v>REVENDA</v>
          </cell>
          <cell r="K1017">
            <v>207.92</v>
          </cell>
          <cell r="L1017">
            <v>24.95</v>
          </cell>
        </row>
        <row r="1018">
          <cell r="A1018" t="str">
            <v>MULTI MADEIRAS</v>
          </cell>
          <cell r="B1018" t="str">
            <v>08/2025</v>
          </cell>
          <cell r="H1018" t="str">
            <v>REVENDA</v>
          </cell>
          <cell r="K1018">
            <v>207.44</v>
          </cell>
          <cell r="L1018">
            <v>24.97</v>
          </cell>
        </row>
        <row r="1019">
          <cell r="A1019" t="str">
            <v>MULTI MADEIRAS</v>
          </cell>
          <cell r="B1019" t="str">
            <v>09/2025</v>
          </cell>
          <cell r="H1019" t="str">
            <v>REVENDA</v>
          </cell>
          <cell r="K1019">
            <v>205.4</v>
          </cell>
          <cell r="L1019">
            <v>0</v>
          </cell>
        </row>
        <row r="1020">
          <cell r="A1020" t="str">
            <v>MULTI MADEIRAS</v>
          </cell>
          <cell r="B1020" t="str">
            <v>05/2025</v>
          </cell>
          <cell r="H1020" t="str">
            <v>REVENDA</v>
          </cell>
          <cell r="K1020">
            <v>204.48</v>
          </cell>
          <cell r="L1020">
            <v>24.54</v>
          </cell>
        </row>
        <row r="1021">
          <cell r="A1021" t="str">
            <v>MULTI MADEIRAS</v>
          </cell>
          <cell r="B1021" t="str">
            <v>08/2025</v>
          </cell>
          <cell r="H1021" t="str">
            <v>REVENDA</v>
          </cell>
          <cell r="K1021">
            <v>203.6</v>
          </cell>
          <cell r="L1021">
            <v>8.82</v>
          </cell>
        </row>
        <row r="1022">
          <cell r="A1022" t="str">
            <v>MULTI MADEIRAS</v>
          </cell>
          <cell r="B1022" t="str">
            <v>09/2025</v>
          </cell>
          <cell r="H1022" t="str">
            <v>REVENDA</v>
          </cell>
          <cell r="K1022">
            <v>202.96</v>
          </cell>
          <cell r="L1022">
            <v>24.77</v>
          </cell>
        </row>
        <row r="1023">
          <cell r="A1023" t="str">
            <v>MULTI MADEIRAS</v>
          </cell>
          <cell r="B1023" t="str">
            <v>08/2025</v>
          </cell>
          <cell r="H1023" t="str">
            <v>REVENDA</v>
          </cell>
          <cell r="K1023">
            <v>201.84</v>
          </cell>
          <cell r="L1023">
            <v>24.3</v>
          </cell>
        </row>
        <row r="1024">
          <cell r="A1024" t="str">
            <v>MULTI MADEIRAS</v>
          </cell>
          <cell r="B1024" t="str">
            <v>09/2025</v>
          </cell>
          <cell r="H1024" t="str">
            <v>REVENDA</v>
          </cell>
          <cell r="K1024">
            <v>200.98</v>
          </cell>
          <cell r="L1024">
            <v>8.0399999999999991</v>
          </cell>
        </row>
        <row r="1025">
          <cell r="A1025" t="str">
            <v>KI ANGELIM</v>
          </cell>
          <cell r="B1025" t="str">
            <v>06/2025</v>
          </cell>
          <cell r="H1025" t="str">
            <v>REVENDA</v>
          </cell>
          <cell r="K1025">
            <v>198.45</v>
          </cell>
          <cell r="L1025">
            <v>0</v>
          </cell>
        </row>
        <row r="1026">
          <cell r="A1026" t="str">
            <v>MULTI MADEIRAS</v>
          </cell>
          <cell r="B1026" t="str">
            <v>07/2025</v>
          </cell>
          <cell r="H1026" t="str">
            <v>REVENDA</v>
          </cell>
          <cell r="K1026">
            <v>198.18</v>
          </cell>
          <cell r="L1026">
            <v>21.62</v>
          </cell>
        </row>
        <row r="1027">
          <cell r="A1027" t="str">
            <v>MULTI MADEIRAS</v>
          </cell>
          <cell r="B1027" t="str">
            <v>06/2025</v>
          </cell>
          <cell r="H1027" t="str">
            <v>REVENDA</v>
          </cell>
          <cell r="K1027">
            <v>198</v>
          </cell>
          <cell r="L1027">
            <v>23.76</v>
          </cell>
        </row>
        <row r="1028">
          <cell r="A1028" t="str">
            <v>MULTI MADEIRAS</v>
          </cell>
          <cell r="B1028" t="str">
            <v>05/2025</v>
          </cell>
          <cell r="H1028" t="str">
            <v>REVENDA</v>
          </cell>
          <cell r="K1028">
            <v>196.32</v>
          </cell>
          <cell r="L1028">
            <v>8.07</v>
          </cell>
        </row>
        <row r="1029">
          <cell r="A1029" t="str">
            <v>MULTI MADEIRAS</v>
          </cell>
          <cell r="B1029" t="str">
            <v>09/2025</v>
          </cell>
          <cell r="H1029" t="str">
            <v>REVENDA</v>
          </cell>
          <cell r="K1029">
            <v>195.49</v>
          </cell>
          <cell r="L1029">
            <v>7.82</v>
          </cell>
        </row>
        <row r="1030">
          <cell r="A1030" t="str">
            <v>MULTI MADEIRAS</v>
          </cell>
          <cell r="B1030" t="str">
            <v>07/2025</v>
          </cell>
          <cell r="H1030" t="str">
            <v>REVENDA</v>
          </cell>
          <cell r="K1030">
            <v>193.5</v>
          </cell>
          <cell r="L1030">
            <v>23.22</v>
          </cell>
        </row>
        <row r="1031">
          <cell r="A1031" t="str">
            <v>MULTI MADEIRAS</v>
          </cell>
          <cell r="B1031" t="str">
            <v>09/2025</v>
          </cell>
          <cell r="H1031" t="str">
            <v>REVENDA</v>
          </cell>
          <cell r="K1031">
            <v>190.3</v>
          </cell>
          <cell r="L1031">
            <v>20.76</v>
          </cell>
        </row>
        <row r="1032">
          <cell r="A1032" t="str">
            <v>MULTI MADEIRAS</v>
          </cell>
          <cell r="B1032" t="str">
            <v>08/2025</v>
          </cell>
          <cell r="H1032" t="str">
            <v>REVENDA</v>
          </cell>
          <cell r="K1032">
            <v>188.97</v>
          </cell>
          <cell r="L1032">
            <v>22.68</v>
          </cell>
        </row>
        <row r="1033">
          <cell r="A1033" t="str">
            <v>MULTI MADEIRAS</v>
          </cell>
          <cell r="B1033" t="str">
            <v>08/2025</v>
          </cell>
          <cell r="H1033" t="str">
            <v>REVENDA</v>
          </cell>
          <cell r="K1033">
            <v>188.64</v>
          </cell>
          <cell r="L1033">
            <v>8.43</v>
          </cell>
        </row>
        <row r="1034">
          <cell r="A1034" t="str">
            <v>MULTI MADEIRAS</v>
          </cell>
          <cell r="B1034" t="str">
            <v>07/2025</v>
          </cell>
          <cell r="H1034" t="str">
            <v>REVENDA</v>
          </cell>
          <cell r="K1034">
            <v>186.24</v>
          </cell>
          <cell r="L1034">
            <v>7.45</v>
          </cell>
        </row>
        <row r="1035">
          <cell r="A1035" t="str">
            <v>MULTI MADEIRAS</v>
          </cell>
          <cell r="B1035" t="str">
            <v>09/2025</v>
          </cell>
          <cell r="H1035" t="str">
            <v>REVENDA</v>
          </cell>
          <cell r="K1035">
            <v>185.47</v>
          </cell>
          <cell r="L1035">
            <v>37.090000000000003</v>
          </cell>
        </row>
        <row r="1036">
          <cell r="A1036" t="str">
            <v>MULTI MADEIRAS</v>
          </cell>
          <cell r="B1036" t="str">
            <v>05/2025</v>
          </cell>
          <cell r="H1036" t="str">
            <v>REVENDA</v>
          </cell>
          <cell r="K1036">
            <v>183.7</v>
          </cell>
          <cell r="L1036">
            <v>20.94</v>
          </cell>
        </row>
        <row r="1037">
          <cell r="A1037" t="str">
            <v>MULTI MADEIRAS</v>
          </cell>
          <cell r="B1037" t="str">
            <v>05/2025</v>
          </cell>
          <cell r="H1037" t="str">
            <v>REVENDA</v>
          </cell>
          <cell r="K1037">
            <v>183.54</v>
          </cell>
          <cell r="L1037">
            <v>22.02</v>
          </cell>
        </row>
        <row r="1038">
          <cell r="A1038" t="str">
            <v>MULTI MADEIRAS</v>
          </cell>
          <cell r="B1038" t="str">
            <v>05/2025</v>
          </cell>
          <cell r="H1038" t="str">
            <v>REVENDA</v>
          </cell>
          <cell r="K1038">
            <v>182.79</v>
          </cell>
          <cell r="L1038">
            <v>19.940000000000001</v>
          </cell>
        </row>
        <row r="1039">
          <cell r="A1039" t="str">
            <v>MULTI MADEIRAS</v>
          </cell>
          <cell r="B1039" t="str">
            <v>07/2025</v>
          </cell>
          <cell r="H1039" t="str">
            <v>REVENDA</v>
          </cell>
          <cell r="K1039">
            <v>182.55</v>
          </cell>
          <cell r="L1039">
            <v>7.3</v>
          </cell>
        </row>
        <row r="1040">
          <cell r="A1040" t="str">
            <v>MULTI MADEIRAS</v>
          </cell>
          <cell r="B1040" t="str">
            <v>07/2025</v>
          </cell>
          <cell r="H1040" t="str">
            <v>REVENDA</v>
          </cell>
          <cell r="K1040">
            <v>180.42</v>
          </cell>
          <cell r="L1040">
            <v>22.2</v>
          </cell>
        </row>
        <row r="1041">
          <cell r="A1041" t="str">
            <v>MULTI MADEIRAS</v>
          </cell>
          <cell r="B1041" t="str">
            <v>05/2025</v>
          </cell>
          <cell r="H1041" t="str">
            <v>REVENDA</v>
          </cell>
          <cell r="K1041">
            <v>180.33</v>
          </cell>
          <cell r="L1041">
            <v>7.21</v>
          </cell>
        </row>
        <row r="1042">
          <cell r="A1042" t="str">
            <v>MULTI MADEIRAS</v>
          </cell>
          <cell r="B1042" t="str">
            <v>05/2025</v>
          </cell>
          <cell r="H1042" t="str">
            <v>REVENDA</v>
          </cell>
          <cell r="K1042">
            <v>179.76</v>
          </cell>
          <cell r="L1042">
            <v>21.57</v>
          </cell>
        </row>
        <row r="1043">
          <cell r="A1043" t="str">
            <v>MULTI MADEIRAS</v>
          </cell>
          <cell r="B1043" t="str">
            <v>05/2025</v>
          </cell>
          <cell r="H1043" t="str">
            <v>REVENDA</v>
          </cell>
          <cell r="K1043">
            <v>179.76</v>
          </cell>
          <cell r="L1043">
            <v>21.57</v>
          </cell>
        </row>
        <row r="1044">
          <cell r="A1044" t="str">
            <v>MULTI MADEIRAS</v>
          </cell>
          <cell r="B1044" t="str">
            <v>05/2025</v>
          </cell>
          <cell r="H1044" t="str">
            <v>REVENDA</v>
          </cell>
          <cell r="K1044">
            <v>176.52</v>
          </cell>
          <cell r="L1044">
            <v>21.18</v>
          </cell>
        </row>
        <row r="1045">
          <cell r="A1045" t="str">
            <v>MULTI MADEIRAS</v>
          </cell>
          <cell r="B1045" t="str">
            <v>05/2025</v>
          </cell>
          <cell r="H1045" t="str">
            <v>REVENDA</v>
          </cell>
          <cell r="K1045">
            <v>176.4</v>
          </cell>
          <cell r="L1045">
            <v>7.06</v>
          </cell>
        </row>
        <row r="1046">
          <cell r="A1046" t="str">
            <v>MULTI MADEIRAS</v>
          </cell>
          <cell r="B1046" t="str">
            <v>05/2025</v>
          </cell>
          <cell r="H1046" t="str">
            <v>REVENDA</v>
          </cell>
          <cell r="K1046">
            <v>175.5</v>
          </cell>
          <cell r="L1046">
            <v>19.149999999999999</v>
          </cell>
        </row>
        <row r="1047">
          <cell r="A1047" t="str">
            <v>MULTI MADEIRAS</v>
          </cell>
          <cell r="B1047" t="str">
            <v>05/2025</v>
          </cell>
          <cell r="H1047" t="str">
            <v>REVENDA</v>
          </cell>
          <cell r="K1047">
            <v>174.8</v>
          </cell>
          <cell r="L1047">
            <v>6.99</v>
          </cell>
        </row>
        <row r="1048">
          <cell r="A1048" t="str">
            <v>MULTI MADEIRAS</v>
          </cell>
          <cell r="B1048" t="str">
            <v>05/2025</v>
          </cell>
          <cell r="H1048" t="str">
            <v>REVENDA</v>
          </cell>
          <cell r="K1048">
            <v>174.8</v>
          </cell>
          <cell r="L1048">
            <v>6.99</v>
          </cell>
        </row>
        <row r="1049">
          <cell r="A1049" t="str">
            <v>MULTI MADEIRAS</v>
          </cell>
          <cell r="B1049" t="str">
            <v>09/2025</v>
          </cell>
          <cell r="H1049" t="str">
            <v>REVENDA</v>
          </cell>
          <cell r="K1049">
            <v>171</v>
          </cell>
          <cell r="L1049">
            <v>20.52</v>
          </cell>
        </row>
        <row r="1050">
          <cell r="A1050" t="str">
            <v>MULTI MADEIRAS</v>
          </cell>
          <cell r="B1050" t="str">
            <v>09/2025</v>
          </cell>
          <cell r="H1050" t="str">
            <v>REVENDA</v>
          </cell>
          <cell r="K1050">
            <v>168.57</v>
          </cell>
          <cell r="L1050">
            <v>6.74</v>
          </cell>
        </row>
        <row r="1051">
          <cell r="A1051" t="str">
            <v>MULTI MADEIRAS</v>
          </cell>
          <cell r="B1051" t="str">
            <v>07/2025</v>
          </cell>
          <cell r="H1051" t="str">
            <v>REVENDA</v>
          </cell>
          <cell r="K1051">
            <v>162.63</v>
          </cell>
          <cell r="L1051">
            <v>19.52</v>
          </cell>
        </row>
        <row r="1052">
          <cell r="A1052" t="str">
            <v>MULTI MADEIRAS</v>
          </cell>
          <cell r="B1052" t="str">
            <v>05/2025</v>
          </cell>
          <cell r="H1052" t="str">
            <v>REVENDA</v>
          </cell>
          <cell r="K1052">
            <v>161.43</v>
          </cell>
          <cell r="L1052">
            <v>6.46</v>
          </cell>
        </row>
        <row r="1053">
          <cell r="A1053" t="str">
            <v>KI ANGELIM</v>
          </cell>
          <cell r="B1053" t="str">
            <v>04/2025</v>
          </cell>
          <cell r="H1053" t="str">
            <v>REVENDA</v>
          </cell>
          <cell r="K1053">
            <v>160</v>
          </cell>
          <cell r="L1053">
            <v>0</v>
          </cell>
        </row>
        <row r="1054">
          <cell r="A1054" t="str">
            <v>MULTI MADEIRAS</v>
          </cell>
          <cell r="B1054" t="str">
            <v>06/2025</v>
          </cell>
          <cell r="H1054" t="str">
            <v>REVENDA</v>
          </cell>
          <cell r="K1054">
            <v>160</v>
          </cell>
          <cell r="L1054">
            <v>19.2</v>
          </cell>
        </row>
        <row r="1055">
          <cell r="A1055" t="str">
            <v>MULTI MADEIRAS</v>
          </cell>
          <cell r="B1055" t="str">
            <v>08/2025</v>
          </cell>
          <cell r="H1055" t="str">
            <v>REVENDA</v>
          </cell>
          <cell r="K1055">
            <v>158.34</v>
          </cell>
          <cell r="L1055">
            <v>19</v>
          </cell>
        </row>
        <row r="1056">
          <cell r="A1056" t="str">
            <v>MULTI MADEIRAS</v>
          </cell>
          <cell r="B1056" t="str">
            <v>05/2025</v>
          </cell>
          <cell r="H1056" t="str">
            <v>REVENDA</v>
          </cell>
          <cell r="K1056">
            <v>157.6</v>
          </cell>
          <cell r="L1056">
            <v>17.97</v>
          </cell>
        </row>
        <row r="1057">
          <cell r="A1057" t="str">
            <v>MULTI MADEIRAS</v>
          </cell>
          <cell r="B1057" t="str">
            <v>05/2025</v>
          </cell>
          <cell r="H1057" t="str">
            <v>REVENDA</v>
          </cell>
          <cell r="K1057">
            <v>157.6</v>
          </cell>
          <cell r="L1057">
            <v>17.97</v>
          </cell>
        </row>
        <row r="1058">
          <cell r="A1058" t="str">
            <v>MULTI MADEIRAS</v>
          </cell>
          <cell r="B1058" t="str">
            <v>05/2025</v>
          </cell>
          <cell r="H1058" t="str">
            <v>REVENDA</v>
          </cell>
          <cell r="K1058">
            <v>157.6</v>
          </cell>
          <cell r="L1058">
            <v>17.97</v>
          </cell>
        </row>
        <row r="1059">
          <cell r="A1059" t="str">
            <v>MULTI MADEIRAS</v>
          </cell>
          <cell r="B1059" t="str">
            <v>05/2025</v>
          </cell>
          <cell r="H1059" t="str">
            <v>REVENDA</v>
          </cell>
          <cell r="K1059">
            <v>157.6</v>
          </cell>
          <cell r="L1059">
            <v>17.97</v>
          </cell>
        </row>
        <row r="1060">
          <cell r="A1060" t="str">
            <v>MULTI MADEIRAS</v>
          </cell>
          <cell r="B1060" t="str">
            <v>08/2025</v>
          </cell>
          <cell r="H1060" t="str">
            <v>REVENDA</v>
          </cell>
          <cell r="K1060">
            <v>157.35</v>
          </cell>
          <cell r="L1060">
            <v>6.82</v>
          </cell>
        </row>
        <row r="1061">
          <cell r="A1061" t="str">
            <v>MULTI MADEIRAS</v>
          </cell>
          <cell r="B1061" t="str">
            <v>05/2025</v>
          </cell>
          <cell r="H1061" t="str">
            <v>REVENDA</v>
          </cell>
          <cell r="K1061">
            <v>156.84</v>
          </cell>
          <cell r="L1061">
            <v>6.45</v>
          </cell>
        </row>
        <row r="1062">
          <cell r="A1062" t="str">
            <v>MULTI MADEIRAS</v>
          </cell>
          <cell r="B1062" t="str">
            <v>09/2025</v>
          </cell>
          <cell r="H1062" t="str">
            <v>REVENDA</v>
          </cell>
          <cell r="K1062">
            <v>156.54</v>
          </cell>
          <cell r="L1062">
            <v>19.11</v>
          </cell>
        </row>
        <row r="1063">
          <cell r="A1063" t="str">
            <v>MULTI MADEIRAS</v>
          </cell>
          <cell r="B1063" t="str">
            <v>09/2025</v>
          </cell>
          <cell r="H1063" t="str">
            <v>REVENDA</v>
          </cell>
          <cell r="K1063">
            <v>152.87</v>
          </cell>
          <cell r="L1063">
            <v>6.11</v>
          </cell>
        </row>
        <row r="1064">
          <cell r="A1064" t="str">
            <v>MULTI MADEIRAS</v>
          </cell>
          <cell r="B1064" t="str">
            <v>09/2025</v>
          </cell>
          <cell r="H1064" t="str">
            <v>REVENDA</v>
          </cell>
          <cell r="K1064">
            <v>152.22</v>
          </cell>
          <cell r="L1064">
            <v>18.579999999999998</v>
          </cell>
        </row>
        <row r="1065">
          <cell r="A1065" t="str">
            <v>MULTI MADEIRAS</v>
          </cell>
          <cell r="B1065" t="str">
            <v>09/2025</v>
          </cell>
          <cell r="H1065" t="str">
            <v>REVENDA</v>
          </cell>
          <cell r="K1065">
            <v>152.22</v>
          </cell>
          <cell r="L1065">
            <v>18.579999999999998</v>
          </cell>
        </row>
        <row r="1066">
          <cell r="A1066" t="str">
            <v>MULTI MADEIRAS</v>
          </cell>
          <cell r="B1066" t="str">
            <v>05/2025</v>
          </cell>
          <cell r="H1066" t="str">
            <v>REVENDA</v>
          </cell>
          <cell r="K1066">
            <v>151.91999999999999</v>
          </cell>
          <cell r="L1066">
            <v>16.57</v>
          </cell>
        </row>
        <row r="1067">
          <cell r="A1067" t="str">
            <v>MULTI MADEIRAS</v>
          </cell>
          <cell r="B1067" t="str">
            <v>07/2025</v>
          </cell>
          <cell r="H1067" t="str">
            <v>REVENDA</v>
          </cell>
          <cell r="K1067">
            <v>151.19999999999999</v>
          </cell>
          <cell r="L1067">
            <v>16.5</v>
          </cell>
        </row>
        <row r="1068">
          <cell r="A1068" t="str">
            <v>MULTI MADEIRAS</v>
          </cell>
          <cell r="B1068" t="str">
            <v>09/2025</v>
          </cell>
          <cell r="H1068" t="str">
            <v>REVENDA</v>
          </cell>
          <cell r="K1068">
            <v>150.93</v>
          </cell>
          <cell r="L1068">
            <v>16.46</v>
          </cell>
        </row>
        <row r="1069">
          <cell r="A1069" t="str">
            <v>MULTI MADEIRAS</v>
          </cell>
          <cell r="B1069" t="str">
            <v>07/2025</v>
          </cell>
          <cell r="H1069" t="str">
            <v>REVENDA</v>
          </cell>
          <cell r="K1069">
            <v>150.93</v>
          </cell>
          <cell r="L1069">
            <v>16.47</v>
          </cell>
        </row>
        <row r="1070">
          <cell r="A1070" t="str">
            <v>MULTI MADEIRAS</v>
          </cell>
          <cell r="B1070" t="str">
            <v>05/2025</v>
          </cell>
          <cell r="H1070" t="str">
            <v>REVENDA</v>
          </cell>
          <cell r="K1070">
            <v>150.93</v>
          </cell>
          <cell r="L1070">
            <v>16.46</v>
          </cell>
        </row>
        <row r="1071">
          <cell r="A1071" t="str">
            <v>MULTI MADEIRAS</v>
          </cell>
          <cell r="B1071" t="str">
            <v>04/2025</v>
          </cell>
          <cell r="H1071" t="str">
            <v>REVENDA</v>
          </cell>
          <cell r="K1071">
            <v>150.9</v>
          </cell>
          <cell r="L1071">
            <v>18.11</v>
          </cell>
        </row>
        <row r="1072">
          <cell r="A1072" t="str">
            <v>MULTI MADEIRAS</v>
          </cell>
          <cell r="B1072" t="str">
            <v>04/2025</v>
          </cell>
          <cell r="H1072" t="str">
            <v>REVENDA</v>
          </cell>
          <cell r="K1072">
            <v>150.9</v>
          </cell>
          <cell r="L1072">
            <v>18.11</v>
          </cell>
        </row>
        <row r="1073">
          <cell r="A1073" t="str">
            <v>MULTI MADEIRAS</v>
          </cell>
          <cell r="B1073" t="str">
            <v>07/2025</v>
          </cell>
          <cell r="H1073" t="str">
            <v>REVENDA</v>
          </cell>
          <cell r="K1073">
            <v>150.9</v>
          </cell>
          <cell r="L1073">
            <v>18.559999999999999</v>
          </cell>
        </row>
        <row r="1074">
          <cell r="A1074" t="str">
            <v>MULTI MADEIRAS</v>
          </cell>
          <cell r="B1074" t="str">
            <v>04/2025</v>
          </cell>
          <cell r="H1074" t="str">
            <v>REVENDA</v>
          </cell>
          <cell r="K1074">
            <v>150.9</v>
          </cell>
          <cell r="L1074">
            <v>18.11</v>
          </cell>
        </row>
        <row r="1075">
          <cell r="A1075" t="str">
            <v>MULTI MADEIRAS</v>
          </cell>
          <cell r="B1075" t="str">
            <v>04/2025</v>
          </cell>
          <cell r="H1075" t="str">
            <v>REVENDA</v>
          </cell>
          <cell r="K1075">
            <v>150.9</v>
          </cell>
          <cell r="L1075">
            <v>18.11</v>
          </cell>
        </row>
        <row r="1076">
          <cell r="A1076" t="str">
            <v>MULTI MADEIRAS</v>
          </cell>
          <cell r="B1076" t="str">
            <v>05/2025</v>
          </cell>
          <cell r="H1076" t="str">
            <v>REVENDA</v>
          </cell>
          <cell r="K1076">
            <v>150.38999999999999</v>
          </cell>
          <cell r="L1076">
            <v>16.41</v>
          </cell>
        </row>
        <row r="1077">
          <cell r="A1077" t="str">
            <v>MULTI MADEIRAS</v>
          </cell>
          <cell r="B1077" t="str">
            <v>08/2025</v>
          </cell>
          <cell r="H1077" t="str">
            <v>REVENDA</v>
          </cell>
          <cell r="K1077">
            <v>149.85</v>
          </cell>
          <cell r="L1077">
            <v>6.49</v>
          </cell>
        </row>
        <row r="1078">
          <cell r="A1078" t="str">
            <v>MULTI MADEIRAS</v>
          </cell>
          <cell r="B1078" t="str">
            <v>04/2025</v>
          </cell>
          <cell r="H1078" t="str">
            <v>REVENDA</v>
          </cell>
          <cell r="K1078">
            <v>147.97</v>
          </cell>
          <cell r="L1078">
            <v>5.92</v>
          </cell>
        </row>
        <row r="1079">
          <cell r="A1079" t="str">
            <v>MULTI MADEIRAS</v>
          </cell>
          <cell r="B1079" t="str">
            <v>07/2025</v>
          </cell>
          <cell r="H1079" t="str">
            <v>REVENDA</v>
          </cell>
          <cell r="K1079">
            <v>147.30000000000001</v>
          </cell>
          <cell r="L1079">
            <v>16.07</v>
          </cell>
        </row>
        <row r="1080">
          <cell r="A1080" t="str">
            <v>MULTI MADEIRAS</v>
          </cell>
          <cell r="B1080" t="str">
            <v>09/2025</v>
          </cell>
          <cell r="H1080" t="str">
            <v>REVENDA</v>
          </cell>
          <cell r="K1080">
            <v>146.28</v>
          </cell>
          <cell r="L1080">
            <v>17.55</v>
          </cell>
        </row>
        <row r="1081">
          <cell r="A1081" t="str">
            <v>MULTI MADEIRAS</v>
          </cell>
          <cell r="B1081" t="str">
            <v>04/2025</v>
          </cell>
          <cell r="H1081" t="str">
            <v>REVENDA</v>
          </cell>
          <cell r="K1081">
            <v>146.28</v>
          </cell>
          <cell r="L1081">
            <v>17.55</v>
          </cell>
        </row>
        <row r="1082">
          <cell r="A1082" t="str">
            <v>MULTI MADEIRAS</v>
          </cell>
          <cell r="B1082" t="str">
            <v>04/2025</v>
          </cell>
          <cell r="H1082" t="str">
            <v>REVENDA</v>
          </cell>
          <cell r="K1082">
            <v>145.31</v>
          </cell>
          <cell r="L1082">
            <v>5.81</v>
          </cell>
        </row>
        <row r="1083">
          <cell r="A1083" t="str">
            <v>MULTI MADEIRAS</v>
          </cell>
          <cell r="B1083" t="str">
            <v>06/2025</v>
          </cell>
          <cell r="H1083" t="str">
            <v>REVENDA</v>
          </cell>
          <cell r="K1083">
            <v>145.02000000000001</v>
          </cell>
          <cell r="L1083">
            <v>17.399999999999999</v>
          </cell>
        </row>
        <row r="1084">
          <cell r="A1084" t="str">
            <v>MULTI MADEIRAS</v>
          </cell>
          <cell r="B1084" t="str">
            <v>05/2025</v>
          </cell>
          <cell r="H1084" t="str">
            <v>REVENDA</v>
          </cell>
          <cell r="K1084">
            <v>145.02000000000001</v>
          </cell>
          <cell r="L1084">
            <v>17.399999999999999</v>
          </cell>
        </row>
        <row r="1085">
          <cell r="A1085" t="str">
            <v>MULTI MADEIRAS</v>
          </cell>
          <cell r="B1085" t="str">
            <v>09/2025</v>
          </cell>
          <cell r="H1085" t="str">
            <v>REVENDA</v>
          </cell>
          <cell r="K1085">
            <v>144.36000000000001</v>
          </cell>
          <cell r="L1085">
            <v>15.75</v>
          </cell>
        </row>
        <row r="1086">
          <cell r="A1086" t="str">
            <v>MULTI MADEIRAS</v>
          </cell>
          <cell r="B1086" t="str">
            <v>05/2025</v>
          </cell>
          <cell r="H1086" t="str">
            <v>REVENDA</v>
          </cell>
          <cell r="K1086">
            <v>144.36000000000001</v>
          </cell>
          <cell r="L1086">
            <v>15.75</v>
          </cell>
        </row>
        <row r="1087">
          <cell r="A1087" t="str">
            <v>MULTI MADEIRAS</v>
          </cell>
          <cell r="B1087" t="str">
            <v>04/2025</v>
          </cell>
          <cell r="H1087" t="str">
            <v>REVENDA</v>
          </cell>
          <cell r="K1087">
            <v>144.12</v>
          </cell>
          <cell r="L1087">
            <v>17.29</v>
          </cell>
        </row>
        <row r="1088">
          <cell r="A1088" t="str">
            <v>MULTI MADEIRAS</v>
          </cell>
          <cell r="B1088" t="str">
            <v>08/2025</v>
          </cell>
          <cell r="H1088" t="str">
            <v>REVENDA</v>
          </cell>
          <cell r="K1088">
            <v>144.02000000000001</v>
          </cell>
          <cell r="L1088">
            <v>17.34</v>
          </cell>
        </row>
        <row r="1089">
          <cell r="A1089" t="str">
            <v>MULTI MADEIRAS</v>
          </cell>
          <cell r="B1089" t="str">
            <v>05/2025</v>
          </cell>
          <cell r="H1089" t="str">
            <v>REVENDA</v>
          </cell>
          <cell r="K1089">
            <v>142.56</v>
          </cell>
          <cell r="L1089">
            <v>15.56</v>
          </cell>
        </row>
        <row r="1090">
          <cell r="A1090" t="str">
            <v>MULTI MADEIRAS</v>
          </cell>
          <cell r="B1090" t="str">
            <v>09/2025</v>
          </cell>
          <cell r="H1090" t="str">
            <v>REVENDA</v>
          </cell>
          <cell r="K1090">
            <v>141.66</v>
          </cell>
          <cell r="L1090">
            <v>17</v>
          </cell>
        </row>
        <row r="1091">
          <cell r="A1091" t="str">
            <v>MULTI MADEIRAS</v>
          </cell>
          <cell r="B1091" t="str">
            <v>08/2025</v>
          </cell>
          <cell r="H1091" t="str">
            <v>REVENDA</v>
          </cell>
          <cell r="K1091">
            <v>141.6</v>
          </cell>
          <cell r="L1091">
            <v>15.45</v>
          </cell>
        </row>
        <row r="1092">
          <cell r="A1092" t="str">
            <v>MULTI MADEIRAS</v>
          </cell>
          <cell r="B1092" t="str">
            <v>08/2025</v>
          </cell>
          <cell r="H1092" t="str">
            <v>REVENDA</v>
          </cell>
          <cell r="K1092">
            <v>141.6</v>
          </cell>
          <cell r="L1092">
            <v>15.45</v>
          </cell>
        </row>
        <row r="1093">
          <cell r="A1093" t="str">
            <v>KI ANGELIM</v>
          </cell>
          <cell r="B1093" t="str">
            <v>07/2025</v>
          </cell>
          <cell r="H1093" t="str">
            <v>REVENDA</v>
          </cell>
          <cell r="K1093">
            <v>141.5</v>
          </cell>
          <cell r="L1093">
            <v>0</v>
          </cell>
        </row>
        <row r="1094">
          <cell r="A1094" t="str">
            <v>MULTI MADEIRAS</v>
          </cell>
          <cell r="B1094" t="str">
            <v>08/2025</v>
          </cell>
          <cell r="H1094" t="str">
            <v>REVENDA</v>
          </cell>
          <cell r="K1094">
            <v>140.68</v>
          </cell>
          <cell r="L1094">
            <v>16.93</v>
          </cell>
        </row>
        <row r="1095">
          <cell r="A1095" t="str">
            <v>MULTI MADEIRAS</v>
          </cell>
          <cell r="B1095" t="str">
            <v>04/2025</v>
          </cell>
          <cell r="H1095" t="str">
            <v>REVENDA</v>
          </cell>
          <cell r="K1095">
            <v>140.58000000000001</v>
          </cell>
          <cell r="L1095">
            <v>5.62</v>
          </cell>
        </row>
        <row r="1096">
          <cell r="A1096" t="str">
            <v>KI ANGELIM</v>
          </cell>
          <cell r="B1096" t="str">
            <v>07/2025</v>
          </cell>
          <cell r="H1096" t="str">
            <v>REVENDA</v>
          </cell>
          <cell r="K1096">
            <v>138.29</v>
          </cell>
          <cell r="L1096">
            <v>0</v>
          </cell>
        </row>
        <row r="1097">
          <cell r="A1097" t="str">
            <v>MULTI MADEIRAS</v>
          </cell>
          <cell r="B1097" t="str">
            <v>08/2025</v>
          </cell>
          <cell r="H1097" t="str">
            <v>REVENDA</v>
          </cell>
          <cell r="K1097">
            <v>136.72999999999999</v>
          </cell>
          <cell r="L1097">
            <v>5.47</v>
          </cell>
        </row>
        <row r="1098">
          <cell r="A1098" t="str">
            <v>MULTI MADEIRAS</v>
          </cell>
          <cell r="B1098" t="str">
            <v>05/2025</v>
          </cell>
          <cell r="H1098" t="str">
            <v>REVENDA</v>
          </cell>
          <cell r="K1098">
            <v>135.72</v>
          </cell>
          <cell r="L1098">
            <v>14.8</v>
          </cell>
        </row>
        <row r="1099">
          <cell r="A1099" t="str">
            <v>MULTI MADEIRAS</v>
          </cell>
          <cell r="B1099" t="str">
            <v>05/2025</v>
          </cell>
          <cell r="H1099" t="str">
            <v>REVENDA</v>
          </cell>
          <cell r="K1099">
            <v>135.72</v>
          </cell>
          <cell r="L1099">
            <v>14.81</v>
          </cell>
        </row>
        <row r="1100">
          <cell r="A1100" t="str">
            <v>MULTI MADEIRAS</v>
          </cell>
          <cell r="B1100" t="str">
            <v>07/2025</v>
          </cell>
          <cell r="H1100" t="str">
            <v>REVENDA</v>
          </cell>
          <cell r="K1100">
            <v>135.19</v>
          </cell>
          <cell r="L1100">
            <v>14.75</v>
          </cell>
        </row>
        <row r="1101">
          <cell r="A1101" t="str">
            <v>MULTI MADEIRAS</v>
          </cell>
          <cell r="B1101" t="str">
            <v>05/2025</v>
          </cell>
          <cell r="H1101" t="str">
            <v>REVENDA</v>
          </cell>
          <cell r="K1101">
            <v>132.6</v>
          </cell>
          <cell r="L1101">
            <v>5.3</v>
          </cell>
        </row>
        <row r="1102">
          <cell r="A1102" t="str">
            <v>MULTI MADEIRAS</v>
          </cell>
          <cell r="B1102" t="str">
            <v>05/2025</v>
          </cell>
          <cell r="H1102" t="str">
            <v>REVENDA</v>
          </cell>
          <cell r="K1102">
            <v>130</v>
          </cell>
          <cell r="L1102">
            <v>5.2</v>
          </cell>
        </row>
        <row r="1103">
          <cell r="A1103" t="str">
            <v>MULTI MADEIRAS</v>
          </cell>
          <cell r="B1103" t="str">
            <v>06/2025</v>
          </cell>
          <cell r="H1103" t="str">
            <v>REVENDA</v>
          </cell>
          <cell r="K1103">
            <v>128.22</v>
          </cell>
          <cell r="L1103">
            <v>15.39</v>
          </cell>
        </row>
        <row r="1104">
          <cell r="A1104" t="str">
            <v>MULTI MADEIRAS</v>
          </cell>
          <cell r="B1104" t="str">
            <v>06/2025</v>
          </cell>
          <cell r="H1104" t="str">
            <v>REVENDA</v>
          </cell>
          <cell r="K1104">
            <v>127.98</v>
          </cell>
          <cell r="L1104">
            <v>16.100000000000001</v>
          </cell>
        </row>
        <row r="1105">
          <cell r="A1105" t="str">
            <v>MULTI MADEIRAS</v>
          </cell>
          <cell r="B1105" t="str">
            <v>04/2025</v>
          </cell>
          <cell r="H1105" t="str">
            <v>REVENDA</v>
          </cell>
          <cell r="K1105">
            <v>127.98</v>
          </cell>
          <cell r="L1105">
            <v>15.36</v>
          </cell>
        </row>
        <row r="1106">
          <cell r="A1106" t="str">
            <v>KI ANGELIM</v>
          </cell>
          <cell r="B1106" t="str">
            <v>07/2025</v>
          </cell>
          <cell r="H1106" t="str">
            <v>REVENDA</v>
          </cell>
          <cell r="K1106">
            <v>127.25</v>
          </cell>
          <cell r="L1106">
            <v>0</v>
          </cell>
        </row>
        <row r="1107">
          <cell r="A1107" t="str">
            <v>MULTI MADEIRAS</v>
          </cell>
          <cell r="B1107" t="str">
            <v>06/2025</v>
          </cell>
          <cell r="H1107" t="str">
            <v>REVENDA</v>
          </cell>
          <cell r="K1107">
            <v>126.12</v>
          </cell>
          <cell r="L1107">
            <v>15.87</v>
          </cell>
        </row>
        <row r="1108">
          <cell r="A1108" t="str">
            <v>MULTI MADEIRAS</v>
          </cell>
          <cell r="B1108" t="str">
            <v>04/2025</v>
          </cell>
          <cell r="H1108" t="str">
            <v>REVENDA</v>
          </cell>
          <cell r="K1108">
            <v>126.12</v>
          </cell>
          <cell r="L1108">
            <v>15.13</v>
          </cell>
        </row>
        <row r="1109">
          <cell r="A1109" t="str">
            <v>MULTI MADEIRAS</v>
          </cell>
          <cell r="B1109" t="str">
            <v>05/2025</v>
          </cell>
          <cell r="H1109" t="str">
            <v>REVENDA</v>
          </cell>
          <cell r="K1109">
            <v>126.09</v>
          </cell>
          <cell r="L1109">
            <v>13.76</v>
          </cell>
        </row>
        <row r="1110">
          <cell r="A1110" t="str">
            <v>MULTI MADEIRAS</v>
          </cell>
          <cell r="B1110" t="str">
            <v>08/2025</v>
          </cell>
          <cell r="H1110" t="str">
            <v>REVENDA</v>
          </cell>
          <cell r="K1110">
            <v>126</v>
          </cell>
          <cell r="L1110">
            <v>15.12</v>
          </cell>
        </row>
        <row r="1111">
          <cell r="A1111" t="str">
            <v>MULTI MADEIRAS</v>
          </cell>
          <cell r="B1111" t="str">
            <v>05/2025</v>
          </cell>
          <cell r="H1111" t="str">
            <v>REVENDA</v>
          </cell>
          <cell r="K1111">
            <v>125.82</v>
          </cell>
          <cell r="L1111">
            <v>13.73</v>
          </cell>
        </row>
        <row r="1112">
          <cell r="A1112" t="str">
            <v>MULTI MADEIRAS</v>
          </cell>
          <cell r="B1112" t="str">
            <v>07/2025</v>
          </cell>
          <cell r="H1112" t="str">
            <v>REVENDA</v>
          </cell>
          <cell r="K1112">
            <v>125.82</v>
          </cell>
          <cell r="L1112">
            <v>13.73</v>
          </cell>
        </row>
        <row r="1113">
          <cell r="A1113" t="str">
            <v>MULTI MADEIRAS</v>
          </cell>
          <cell r="B1113" t="str">
            <v>05/2025</v>
          </cell>
          <cell r="H1113" t="str">
            <v>REVENDA</v>
          </cell>
          <cell r="K1113">
            <v>125.82</v>
          </cell>
          <cell r="L1113">
            <v>13.72</v>
          </cell>
        </row>
        <row r="1114">
          <cell r="A1114" t="str">
            <v>MULTI MADEIRAS</v>
          </cell>
          <cell r="B1114" t="str">
            <v>07/2025</v>
          </cell>
          <cell r="H1114" t="str">
            <v>REVENDA</v>
          </cell>
          <cell r="K1114">
            <v>125.79</v>
          </cell>
          <cell r="L1114">
            <v>5.03</v>
          </cell>
        </row>
        <row r="1115">
          <cell r="A1115" t="str">
            <v>MULTI MADEIRAS</v>
          </cell>
          <cell r="B1115" t="str">
            <v>04/2025</v>
          </cell>
          <cell r="H1115" t="str">
            <v>REVENDA</v>
          </cell>
          <cell r="K1115">
            <v>125.25</v>
          </cell>
          <cell r="L1115">
            <v>5.01</v>
          </cell>
        </row>
        <row r="1116">
          <cell r="A1116" t="str">
            <v>MULTI MADEIRAS</v>
          </cell>
          <cell r="B1116" t="str">
            <v>04/2025</v>
          </cell>
          <cell r="H1116" t="str">
            <v>REVENDA</v>
          </cell>
          <cell r="K1116">
            <v>125.25</v>
          </cell>
          <cell r="L1116">
            <v>5.01</v>
          </cell>
        </row>
        <row r="1117">
          <cell r="A1117" t="str">
            <v>MULTI MADEIRAS</v>
          </cell>
          <cell r="B1117" t="str">
            <v>06/2025</v>
          </cell>
          <cell r="H1117" t="str">
            <v>REVENDA</v>
          </cell>
          <cell r="K1117">
            <v>123.52</v>
          </cell>
          <cell r="L1117">
            <v>14.82</v>
          </cell>
        </row>
        <row r="1118">
          <cell r="A1118" t="str">
            <v>MULTI MADEIRAS</v>
          </cell>
          <cell r="B1118" t="str">
            <v>08/2025</v>
          </cell>
          <cell r="H1118" t="str">
            <v>REVENDA</v>
          </cell>
          <cell r="K1118">
            <v>121.65</v>
          </cell>
          <cell r="L1118">
            <v>14.64</v>
          </cell>
        </row>
        <row r="1119">
          <cell r="A1119" t="str">
            <v>MULTI MADEIRAS</v>
          </cell>
          <cell r="B1119" t="str">
            <v>05/2025</v>
          </cell>
          <cell r="H1119" t="str">
            <v>REVENDA</v>
          </cell>
          <cell r="K1119">
            <v>121.14</v>
          </cell>
          <cell r="L1119">
            <v>13.22</v>
          </cell>
        </row>
        <row r="1120">
          <cell r="A1120" t="str">
            <v>MULTI MADEIRAS</v>
          </cell>
          <cell r="B1120" t="str">
            <v>09/2025</v>
          </cell>
          <cell r="H1120" t="str">
            <v>REVENDA</v>
          </cell>
          <cell r="K1120">
            <v>121.14</v>
          </cell>
          <cell r="L1120">
            <v>13.22</v>
          </cell>
        </row>
        <row r="1121">
          <cell r="A1121" t="str">
            <v>MULTI MADEIRAS</v>
          </cell>
          <cell r="B1121" t="str">
            <v>07/2025</v>
          </cell>
          <cell r="H1121" t="str">
            <v>REVENDA</v>
          </cell>
          <cell r="K1121">
            <v>121.14</v>
          </cell>
          <cell r="L1121">
            <v>13.22</v>
          </cell>
        </row>
        <row r="1122">
          <cell r="A1122" t="str">
            <v>MULTI MADEIRAS</v>
          </cell>
          <cell r="B1122" t="str">
            <v>04/2025</v>
          </cell>
          <cell r="H1122" t="str">
            <v>REVENDA</v>
          </cell>
          <cell r="K1122">
            <v>121.14</v>
          </cell>
          <cell r="L1122">
            <v>13.22</v>
          </cell>
        </row>
        <row r="1123">
          <cell r="A1123" t="str">
            <v>MULTI MADEIRAS</v>
          </cell>
          <cell r="B1123" t="str">
            <v>04/2025</v>
          </cell>
          <cell r="H1123" t="str">
            <v>REVENDA</v>
          </cell>
          <cell r="K1123">
            <v>120.23</v>
          </cell>
          <cell r="L1123">
            <v>4.8099999999999996</v>
          </cell>
        </row>
        <row r="1124">
          <cell r="A1124" t="str">
            <v>MULTI MADEIRAS</v>
          </cell>
          <cell r="B1124" t="str">
            <v>08/2025</v>
          </cell>
          <cell r="H1124" t="str">
            <v>REVENDA</v>
          </cell>
          <cell r="K1124">
            <v>118.9</v>
          </cell>
          <cell r="L1124">
            <v>4.7699999999999996</v>
          </cell>
        </row>
        <row r="1125">
          <cell r="A1125" t="str">
            <v>MULTI MADEIRAS</v>
          </cell>
          <cell r="B1125" t="str">
            <v>09/2025</v>
          </cell>
          <cell r="H1125" t="str">
            <v>REVENDA</v>
          </cell>
          <cell r="K1125">
            <v>118.56</v>
          </cell>
          <cell r="L1125">
            <v>14.23</v>
          </cell>
        </row>
        <row r="1126">
          <cell r="A1126" t="str">
            <v>MULTI MADEIRAS</v>
          </cell>
          <cell r="B1126" t="str">
            <v>05/2025</v>
          </cell>
          <cell r="H1126" t="str">
            <v>REVENDA</v>
          </cell>
          <cell r="K1126">
            <v>117.64</v>
          </cell>
          <cell r="L1126">
            <v>4.71</v>
          </cell>
        </row>
        <row r="1127">
          <cell r="A1127" t="str">
            <v>MULTI MADEIRAS</v>
          </cell>
          <cell r="B1127" t="str">
            <v>05/2025</v>
          </cell>
          <cell r="H1127" t="str">
            <v>REVENDA</v>
          </cell>
          <cell r="K1127">
            <v>116.91</v>
          </cell>
          <cell r="L1127">
            <v>12.75</v>
          </cell>
        </row>
        <row r="1128">
          <cell r="A1128" t="str">
            <v>MULTI MADEIRAS</v>
          </cell>
          <cell r="B1128" t="str">
            <v>09/2025</v>
          </cell>
          <cell r="H1128" t="str">
            <v>REVENDA</v>
          </cell>
          <cell r="K1128">
            <v>116.91</v>
          </cell>
          <cell r="L1128">
            <v>12.76</v>
          </cell>
        </row>
        <row r="1129">
          <cell r="A1129" t="str">
            <v>MULTI MADEIRAS</v>
          </cell>
          <cell r="B1129" t="str">
            <v>08/2025</v>
          </cell>
          <cell r="H1129" t="str">
            <v>REVENDA</v>
          </cell>
          <cell r="K1129">
            <v>116.08</v>
          </cell>
          <cell r="L1129">
            <v>4.6399999999999997</v>
          </cell>
        </row>
        <row r="1130">
          <cell r="A1130" t="str">
            <v>MULTI MADEIRAS</v>
          </cell>
          <cell r="B1130" t="str">
            <v>07/2025</v>
          </cell>
          <cell r="H1130" t="str">
            <v>REVENDA</v>
          </cell>
          <cell r="K1130">
            <v>115.38</v>
          </cell>
          <cell r="L1130">
            <v>12.6</v>
          </cell>
        </row>
        <row r="1131">
          <cell r="A1131" t="str">
            <v>MULTI MADEIRAS</v>
          </cell>
          <cell r="B1131" t="str">
            <v>05/2025</v>
          </cell>
          <cell r="H1131" t="str">
            <v>REVENDA</v>
          </cell>
          <cell r="K1131">
            <v>113.88</v>
          </cell>
          <cell r="L1131">
            <v>13.67</v>
          </cell>
        </row>
        <row r="1132">
          <cell r="A1132" t="str">
            <v>MULTI MADEIRAS</v>
          </cell>
          <cell r="B1132" t="str">
            <v>05/2025</v>
          </cell>
          <cell r="H1132" t="str">
            <v>REVENDA</v>
          </cell>
          <cell r="K1132">
            <v>111.4</v>
          </cell>
          <cell r="L1132">
            <v>22.28</v>
          </cell>
        </row>
        <row r="1133">
          <cell r="A1133" t="str">
            <v>MULTI MADEIRAS</v>
          </cell>
          <cell r="B1133" t="str">
            <v>04/2025</v>
          </cell>
          <cell r="H1133" t="str">
            <v>REVENDA</v>
          </cell>
          <cell r="K1133">
            <v>111</v>
          </cell>
          <cell r="L1133">
            <v>4.4400000000000004</v>
          </cell>
        </row>
        <row r="1134">
          <cell r="A1134" t="str">
            <v>MULTI MADEIRAS</v>
          </cell>
          <cell r="B1134" t="str">
            <v>04/2025</v>
          </cell>
          <cell r="H1134" t="str">
            <v>REVENDA</v>
          </cell>
          <cell r="K1134">
            <v>110.94</v>
          </cell>
          <cell r="L1134">
            <v>4.4400000000000004</v>
          </cell>
        </row>
        <row r="1135">
          <cell r="A1135" t="str">
            <v>MULTI MADEIRAS</v>
          </cell>
          <cell r="B1135" t="str">
            <v>09/2025</v>
          </cell>
          <cell r="H1135" t="str">
            <v>REVENDA</v>
          </cell>
          <cell r="K1135">
            <v>110.54</v>
          </cell>
          <cell r="L1135">
            <v>4.42</v>
          </cell>
        </row>
        <row r="1136">
          <cell r="A1136" t="str">
            <v>MULTI MADEIRAS</v>
          </cell>
          <cell r="B1136" t="str">
            <v>08/2025</v>
          </cell>
          <cell r="H1136" t="str">
            <v>REVENDA</v>
          </cell>
          <cell r="K1136">
            <v>109.68</v>
          </cell>
          <cell r="L1136">
            <v>14.48</v>
          </cell>
        </row>
        <row r="1137">
          <cell r="A1137" t="str">
            <v>MULTI MADEIRAS</v>
          </cell>
          <cell r="B1137" t="str">
            <v>09/2025</v>
          </cell>
          <cell r="H1137" t="str">
            <v>REVENDA</v>
          </cell>
          <cell r="K1137">
            <v>109.62</v>
          </cell>
          <cell r="L1137">
            <v>11.97</v>
          </cell>
        </row>
        <row r="1138">
          <cell r="A1138" t="str">
            <v>MULTI MADEIRAS</v>
          </cell>
          <cell r="B1138" t="str">
            <v>07/2025</v>
          </cell>
          <cell r="H1138" t="str">
            <v>REVENDA</v>
          </cell>
          <cell r="K1138">
            <v>109.2</v>
          </cell>
          <cell r="L1138">
            <v>13.1</v>
          </cell>
        </row>
        <row r="1139">
          <cell r="A1139" t="str">
            <v>MULTI MADEIRAS</v>
          </cell>
          <cell r="B1139" t="str">
            <v>08/2025</v>
          </cell>
          <cell r="H1139" t="str">
            <v>REVENDA</v>
          </cell>
          <cell r="K1139">
            <v>107.22</v>
          </cell>
          <cell r="L1139">
            <v>12.91</v>
          </cell>
        </row>
        <row r="1140">
          <cell r="A1140" t="str">
            <v>MULTI MADEIRAS</v>
          </cell>
          <cell r="B1140" t="str">
            <v>05/2025</v>
          </cell>
          <cell r="H1140" t="str">
            <v>REVENDA</v>
          </cell>
          <cell r="K1140">
            <v>107.19</v>
          </cell>
          <cell r="L1140">
            <v>11.69</v>
          </cell>
        </row>
        <row r="1141">
          <cell r="A1141" t="str">
            <v>MULTI MADEIRAS</v>
          </cell>
          <cell r="B1141" t="str">
            <v>09/2025</v>
          </cell>
          <cell r="H1141" t="str">
            <v>REVENDA</v>
          </cell>
          <cell r="K1141">
            <v>106.78</v>
          </cell>
          <cell r="L1141">
            <v>4.2699999999999996</v>
          </cell>
        </row>
        <row r="1142">
          <cell r="A1142" t="str">
            <v>MULTI MADEIRAS</v>
          </cell>
          <cell r="B1142" t="str">
            <v>09/2025</v>
          </cell>
          <cell r="H1142" t="str">
            <v>REVENDA</v>
          </cell>
          <cell r="K1142">
            <v>105.58</v>
          </cell>
          <cell r="L1142">
            <v>4.22</v>
          </cell>
        </row>
        <row r="1143">
          <cell r="A1143" t="str">
            <v>MULTI MADEIRAS</v>
          </cell>
          <cell r="B1143" t="str">
            <v>07/2025</v>
          </cell>
          <cell r="H1143" t="str">
            <v>REVENDA</v>
          </cell>
          <cell r="K1143">
            <v>105.3</v>
          </cell>
          <cell r="L1143">
            <v>4.21</v>
          </cell>
        </row>
        <row r="1144">
          <cell r="A1144" t="str">
            <v>MULTI MADEIRAS</v>
          </cell>
          <cell r="B1144" t="str">
            <v>04/2025</v>
          </cell>
          <cell r="H1144" t="str">
            <v>REVENDA</v>
          </cell>
          <cell r="K1144">
            <v>104.81</v>
          </cell>
          <cell r="L1144">
            <v>4.1900000000000004</v>
          </cell>
        </row>
        <row r="1145">
          <cell r="A1145" t="str">
            <v>MULTI MADEIRAS</v>
          </cell>
          <cell r="B1145" t="str">
            <v>08/2025</v>
          </cell>
          <cell r="H1145" t="str">
            <v>REVENDA</v>
          </cell>
          <cell r="K1145">
            <v>103.7</v>
          </cell>
          <cell r="L1145">
            <v>11.31</v>
          </cell>
        </row>
        <row r="1146">
          <cell r="A1146" t="str">
            <v>MULTI MADEIRAS</v>
          </cell>
          <cell r="B1146" t="str">
            <v>08/2025</v>
          </cell>
          <cell r="H1146" t="str">
            <v>REVENDA</v>
          </cell>
          <cell r="K1146">
            <v>103.7</v>
          </cell>
          <cell r="L1146">
            <v>11.31</v>
          </cell>
        </row>
        <row r="1147">
          <cell r="A1147" t="str">
            <v>MULTI MADEIRAS</v>
          </cell>
          <cell r="B1147" t="str">
            <v>05/2025</v>
          </cell>
          <cell r="H1147" t="str">
            <v>REVENDA</v>
          </cell>
          <cell r="K1147">
            <v>103</v>
          </cell>
          <cell r="L1147">
            <v>4.12</v>
          </cell>
        </row>
        <row r="1148">
          <cell r="A1148" t="str">
            <v>MULTI MADEIRAS</v>
          </cell>
          <cell r="B1148" t="str">
            <v>05/2025</v>
          </cell>
          <cell r="H1148" t="str">
            <v>REVENDA</v>
          </cell>
          <cell r="K1148">
            <v>102.72</v>
          </cell>
          <cell r="L1148">
            <v>4.22</v>
          </cell>
        </row>
        <row r="1149">
          <cell r="A1149" t="str">
            <v>MULTI MADEIRAS</v>
          </cell>
          <cell r="B1149" t="str">
            <v>05/2025</v>
          </cell>
          <cell r="H1149" t="str">
            <v>REVENDA</v>
          </cell>
          <cell r="K1149">
            <v>102.33</v>
          </cell>
          <cell r="L1149">
            <v>11.16</v>
          </cell>
        </row>
        <row r="1150">
          <cell r="A1150" t="str">
            <v>MULTI MADEIRAS</v>
          </cell>
          <cell r="B1150" t="str">
            <v>05/2025</v>
          </cell>
          <cell r="H1150" t="str">
            <v>REVENDA</v>
          </cell>
          <cell r="K1150">
            <v>102.24</v>
          </cell>
          <cell r="L1150">
            <v>12.27</v>
          </cell>
        </row>
        <row r="1151">
          <cell r="A1151" t="str">
            <v>MULTI MADEIRAS</v>
          </cell>
          <cell r="B1151" t="str">
            <v>05/2025</v>
          </cell>
          <cell r="H1151" t="str">
            <v>REVENDA</v>
          </cell>
          <cell r="K1151">
            <v>102.24</v>
          </cell>
          <cell r="L1151">
            <v>12.27</v>
          </cell>
        </row>
        <row r="1152">
          <cell r="A1152" t="str">
            <v>MULTI MADEIRAS</v>
          </cell>
          <cell r="B1152" t="str">
            <v>05/2025</v>
          </cell>
          <cell r="H1152" t="str">
            <v>REVENDA</v>
          </cell>
          <cell r="K1152">
            <v>102.24</v>
          </cell>
          <cell r="L1152">
            <v>12.27</v>
          </cell>
        </row>
        <row r="1153">
          <cell r="A1153" t="str">
            <v>MULTI MADEIRAS</v>
          </cell>
          <cell r="B1153" t="str">
            <v>05/2025</v>
          </cell>
          <cell r="H1153" t="str">
            <v>REVENDA</v>
          </cell>
          <cell r="K1153">
            <v>102.24</v>
          </cell>
          <cell r="L1153">
            <v>12.27</v>
          </cell>
        </row>
        <row r="1154">
          <cell r="A1154" t="str">
            <v>MULTI MADEIRAS</v>
          </cell>
          <cell r="B1154" t="str">
            <v>05/2025</v>
          </cell>
          <cell r="H1154" t="str">
            <v>REVENDA</v>
          </cell>
          <cell r="K1154">
            <v>102.24</v>
          </cell>
          <cell r="L1154">
            <v>12.27</v>
          </cell>
        </row>
        <row r="1155">
          <cell r="A1155" t="str">
            <v>MULTI MADEIRAS</v>
          </cell>
          <cell r="B1155" t="str">
            <v>05/2025</v>
          </cell>
          <cell r="H1155" t="str">
            <v>REVENDA</v>
          </cell>
          <cell r="K1155">
            <v>102.24</v>
          </cell>
          <cell r="L1155">
            <v>12.27</v>
          </cell>
        </row>
        <row r="1156">
          <cell r="A1156" t="str">
            <v>MULTI MADEIRAS</v>
          </cell>
          <cell r="B1156" t="str">
            <v>05/2025</v>
          </cell>
          <cell r="H1156" t="str">
            <v>REVENDA</v>
          </cell>
          <cell r="K1156">
            <v>102.24</v>
          </cell>
          <cell r="L1156">
            <v>12.27</v>
          </cell>
        </row>
        <row r="1157">
          <cell r="A1157" t="str">
            <v>MULTI MADEIRAS</v>
          </cell>
          <cell r="B1157" t="str">
            <v>05/2025</v>
          </cell>
          <cell r="H1157" t="str">
            <v>REVENDA</v>
          </cell>
          <cell r="K1157">
            <v>101</v>
          </cell>
          <cell r="L1157">
            <v>4.04</v>
          </cell>
        </row>
        <row r="1158">
          <cell r="A1158" t="str">
            <v>MULTI MADEIRAS</v>
          </cell>
          <cell r="B1158" t="str">
            <v>09/2025</v>
          </cell>
          <cell r="H1158" t="str">
            <v>REVENDA</v>
          </cell>
          <cell r="K1158">
            <v>100.62</v>
          </cell>
          <cell r="L1158">
            <v>10.98</v>
          </cell>
        </row>
        <row r="1159">
          <cell r="A1159" t="str">
            <v>MULTI MADEIRAS</v>
          </cell>
          <cell r="B1159" t="str">
            <v>05/2025</v>
          </cell>
          <cell r="H1159" t="str">
            <v>REVENDA</v>
          </cell>
          <cell r="K1159">
            <v>99.24</v>
          </cell>
          <cell r="L1159">
            <v>4.08</v>
          </cell>
        </row>
        <row r="1160">
          <cell r="A1160" t="str">
            <v>MULTI MADEIRAS</v>
          </cell>
          <cell r="B1160" t="str">
            <v>06/2025</v>
          </cell>
          <cell r="H1160" t="str">
            <v>REVENDA</v>
          </cell>
          <cell r="K1160">
            <v>99</v>
          </cell>
          <cell r="L1160">
            <v>11.88</v>
          </cell>
        </row>
        <row r="1161">
          <cell r="A1161" t="str">
            <v>MULTI MADEIRAS</v>
          </cell>
          <cell r="B1161" t="str">
            <v>09/2025</v>
          </cell>
          <cell r="H1161" t="str">
            <v>REVENDA</v>
          </cell>
          <cell r="K1161">
            <v>99</v>
          </cell>
          <cell r="L1161">
            <v>11.88</v>
          </cell>
        </row>
        <row r="1162">
          <cell r="A1162" t="str">
            <v>MULTI MADEIRAS</v>
          </cell>
          <cell r="B1162" t="str">
            <v>06/2025</v>
          </cell>
          <cell r="H1162" t="str">
            <v>REVENDA</v>
          </cell>
          <cell r="K1162">
            <v>99</v>
          </cell>
          <cell r="L1162">
            <v>11.88</v>
          </cell>
        </row>
        <row r="1163">
          <cell r="A1163" t="str">
            <v>MULTI MADEIRAS</v>
          </cell>
          <cell r="B1163" t="str">
            <v>05/2025</v>
          </cell>
          <cell r="H1163" t="str">
            <v>REVENDA</v>
          </cell>
          <cell r="K1163">
            <v>99</v>
          </cell>
          <cell r="L1163">
            <v>11.88</v>
          </cell>
        </row>
        <row r="1164">
          <cell r="A1164" t="str">
            <v>MULTI MADEIRAS</v>
          </cell>
          <cell r="B1164" t="str">
            <v>05/2025</v>
          </cell>
          <cell r="H1164" t="str">
            <v>REVENDA</v>
          </cell>
          <cell r="K1164">
            <v>97.52</v>
          </cell>
          <cell r="L1164">
            <v>10.64</v>
          </cell>
        </row>
        <row r="1165">
          <cell r="A1165" t="str">
            <v>MULTI MADEIRAS</v>
          </cell>
          <cell r="B1165" t="str">
            <v>04/2025</v>
          </cell>
          <cell r="H1165" t="str">
            <v>REVENDA</v>
          </cell>
          <cell r="K1165">
            <v>97.38</v>
          </cell>
          <cell r="L1165">
            <v>3.9</v>
          </cell>
        </row>
        <row r="1166">
          <cell r="A1166" t="str">
            <v>MULTI MADEIRAS</v>
          </cell>
          <cell r="B1166" t="str">
            <v>05/2025</v>
          </cell>
          <cell r="H1166" t="str">
            <v>REVENDA</v>
          </cell>
          <cell r="K1166">
            <v>97.2</v>
          </cell>
          <cell r="L1166">
            <v>3.89</v>
          </cell>
        </row>
        <row r="1167">
          <cell r="A1167" t="str">
            <v>MULTI MADEIRAS</v>
          </cell>
          <cell r="B1167" t="str">
            <v>09/2025</v>
          </cell>
          <cell r="H1167" t="str">
            <v>REVENDA</v>
          </cell>
          <cell r="K1167">
            <v>95.88</v>
          </cell>
          <cell r="L1167">
            <v>3.84</v>
          </cell>
        </row>
        <row r="1168">
          <cell r="A1168" t="str">
            <v>MULTI MADEIRAS</v>
          </cell>
          <cell r="B1168" t="str">
            <v>05/2025</v>
          </cell>
          <cell r="H1168" t="str">
            <v>REVENDA</v>
          </cell>
          <cell r="K1168">
            <v>95.4</v>
          </cell>
          <cell r="L1168">
            <v>3.82</v>
          </cell>
        </row>
        <row r="1169">
          <cell r="A1169" t="str">
            <v>MULTI MADEIRAS</v>
          </cell>
          <cell r="B1169" t="str">
            <v>08/2025</v>
          </cell>
          <cell r="H1169" t="str">
            <v>REVENDA</v>
          </cell>
          <cell r="K1169">
            <v>94.95</v>
          </cell>
          <cell r="L1169">
            <v>10.36</v>
          </cell>
        </row>
        <row r="1170">
          <cell r="A1170" t="str">
            <v>MULTI MADEIRAS</v>
          </cell>
          <cell r="B1170" t="str">
            <v>08/2025</v>
          </cell>
          <cell r="H1170" t="str">
            <v>REVENDA</v>
          </cell>
          <cell r="K1170">
            <v>94.95</v>
          </cell>
          <cell r="L1170">
            <v>10.36</v>
          </cell>
        </row>
        <row r="1171">
          <cell r="A1171" t="str">
            <v>MULTI MADEIRAS</v>
          </cell>
          <cell r="B1171" t="str">
            <v>07/2025</v>
          </cell>
          <cell r="H1171" t="str">
            <v>REVENDA</v>
          </cell>
          <cell r="K1171">
            <v>93</v>
          </cell>
          <cell r="L1171">
            <v>3.72</v>
          </cell>
        </row>
        <row r="1172">
          <cell r="A1172" t="str">
            <v>MULTI MADEIRAS</v>
          </cell>
          <cell r="B1172" t="str">
            <v>08/2025</v>
          </cell>
          <cell r="H1172" t="str">
            <v>REVENDA</v>
          </cell>
          <cell r="K1172">
            <v>92.82</v>
          </cell>
          <cell r="L1172">
            <v>3.71</v>
          </cell>
        </row>
        <row r="1173">
          <cell r="A1173" t="str">
            <v>MULTI MADEIRAS</v>
          </cell>
          <cell r="B1173" t="str">
            <v>05/2025</v>
          </cell>
          <cell r="H1173" t="str">
            <v>REVENDA</v>
          </cell>
          <cell r="K1173">
            <v>89.88</v>
          </cell>
          <cell r="L1173">
            <v>10.79</v>
          </cell>
        </row>
        <row r="1174">
          <cell r="A1174" t="str">
            <v>MULTI MADEIRAS</v>
          </cell>
          <cell r="B1174" t="str">
            <v>05/2025</v>
          </cell>
          <cell r="H1174" t="str">
            <v>REVENDA</v>
          </cell>
          <cell r="K1174">
            <v>89.88</v>
          </cell>
          <cell r="L1174">
            <v>10.79</v>
          </cell>
        </row>
        <row r="1175">
          <cell r="A1175" t="str">
            <v>MULTI MADEIRAS</v>
          </cell>
          <cell r="B1175" t="str">
            <v>05/2025</v>
          </cell>
          <cell r="H1175" t="str">
            <v>REVENDA</v>
          </cell>
          <cell r="K1175">
            <v>89.88</v>
          </cell>
          <cell r="L1175">
            <v>10.79</v>
          </cell>
        </row>
        <row r="1176">
          <cell r="A1176" t="str">
            <v>MULTI MADEIRAS</v>
          </cell>
          <cell r="B1176" t="str">
            <v>05/2025</v>
          </cell>
          <cell r="H1176" t="str">
            <v>REVENDA</v>
          </cell>
          <cell r="K1176">
            <v>89.88</v>
          </cell>
          <cell r="L1176">
            <v>10.79</v>
          </cell>
        </row>
        <row r="1177">
          <cell r="A1177" t="str">
            <v>MULTI MADEIRAS</v>
          </cell>
          <cell r="B1177" t="str">
            <v>05/2025</v>
          </cell>
          <cell r="H1177" t="str">
            <v>REVENDA</v>
          </cell>
          <cell r="K1177">
            <v>89.7</v>
          </cell>
          <cell r="L1177">
            <v>9.7899999999999991</v>
          </cell>
        </row>
        <row r="1178">
          <cell r="A1178" t="str">
            <v>MULTI MADEIRAS</v>
          </cell>
          <cell r="B1178" t="str">
            <v>07/2025</v>
          </cell>
          <cell r="H1178" t="str">
            <v>REVENDA</v>
          </cell>
          <cell r="K1178">
            <v>89.7</v>
          </cell>
          <cell r="L1178">
            <v>9.7899999999999991</v>
          </cell>
        </row>
        <row r="1179">
          <cell r="A1179" t="str">
            <v>MULTI MADEIRAS</v>
          </cell>
          <cell r="B1179" t="str">
            <v>09/2025</v>
          </cell>
          <cell r="H1179" t="str">
            <v>REVENDA</v>
          </cell>
          <cell r="K1179">
            <v>89.6</v>
          </cell>
          <cell r="L1179">
            <v>3.58</v>
          </cell>
        </row>
        <row r="1180">
          <cell r="A1180" t="str">
            <v>MULTI MADEIRAS</v>
          </cell>
          <cell r="B1180" t="str">
            <v>09/2025</v>
          </cell>
          <cell r="H1180" t="str">
            <v>REVENDA</v>
          </cell>
          <cell r="K1180">
            <v>88</v>
          </cell>
          <cell r="L1180">
            <v>10.56</v>
          </cell>
        </row>
        <row r="1181">
          <cell r="A1181" t="str">
            <v>MULTI MADEIRAS</v>
          </cell>
          <cell r="B1181" t="str">
            <v>08/2025</v>
          </cell>
          <cell r="H1181" t="str">
            <v>REVENDA</v>
          </cell>
          <cell r="K1181">
            <v>88</v>
          </cell>
          <cell r="L1181">
            <v>10.56</v>
          </cell>
        </row>
        <row r="1182">
          <cell r="A1182" t="str">
            <v>MULTI MADEIRAS</v>
          </cell>
          <cell r="B1182" t="str">
            <v>06/2025</v>
          </cell>
          <cell r="H1182" t="str">
            <v>REVENDA</v>
          </cell>
          <cell r="K1182">
            <v>88</v>
          </cell>
          <cell r="L1182">
            <v>10.56</v>
          </cell>
        </row>
        <row r="1183">
          <cell r="A1183" t="str">
            <v>MULTI MADEIRAS</v>
          </cell>
          <cell r="B1183" t="str">
            <v>05/2025</v>
          </cell>
          <cell r="H1183" t="str">
            <v>REVENDA</v>
          </cell>
          <cell r="K1183">
            <v>87.75</v>
          </cell>
          <cell r="L1183">
            <v>9.57</v>
          </cell>
        </row>
        <row r="1184">
          <cell r="A1184" t="str">
            <v>MULTI MADEIRAS</v>
          </cell>
          <cell r="B1184" t="str">
            <v>08/2025</v>
          </cell>
          <cell r="H1184" t="str">
            <v>REVENDA</v>
          </cell>
          <cell r="K1184">
            <v>86</v>
          </cell>
          <cell r="L1184">
            <v>10.32</v>
          </cell>
        </row>
        <row r="1185">
          <cell r="A1185" t="str">
            <v>MULTI MADEIRAS</v>
          </cell>
          <cell r="B1185" t="str">
            <v>09/2025</v>
          </cell>
          <cell r="H1185" t="str">
            <v>REVENDA</v>
          </cell>
          <cell r="K1185">
            <v>86</v>
          </cell>
          <cell r="L1185">
            <v>10.32</v>
          </cell>
        </row>
        <row r="1186">
          <cell r="A1186" t="str">
            <v>MULTI MADEIRAS</v>
          </cell>
          <cell r="B1186" t="str">
            <v>08/2025</v>
          </cell>
          <cell r="H1186" t="str">
            <v>REVENDA</v>
          </cell>
          <cell r="K1186">
            <v>86</v>
          </cell>
          <cell r="L1186">
            <v>10.32</v>
          </cell>
        </row>
        <row r="1187">
          <cell r="A1187" t="str">
            <v>MULTI MADEIRAS</v>
          </cell>
          <cell r="B1187" t="str">
            <v>05/2025</v>
          </cell>
          <cell r="H1187" t="str">
            <v>REVENDA</v>
          </cell>
          <cell r="K1187">
            <v>86</v>
          </cell>
          <cell r="L1187">
            <v>10.32</v>
          </cell>
        </row>
        <row r="1188">
          <cell r="A1188" t="str">
            <v>MULTI MADEIRAS</v>
          </cell>
          <cell r="B1188" t="str">
            <v>07/2025</v>
          </cell>
          <cell r="H1188" t="str">
            <v>REVENDA</v>
          </cell>
          <cell r="K1188">
            <v>85.74</v>
          </cell>
          <cell r="L1188">
            <v>3.43</v>
          </cell>
        </row>
        <row r="1189">
          <cell r="A1189" t="str">
            <v>MULTI MADEIRAS</v>
          </cell>
          <cell r="B1189" t="str">
            <v>07/2025</v>
          </cell>
          <cell r="H1189" t="str">
            <v>REVENDA</v>
          </cell>
          <cell r="K1189">
            <v>84.48</v>
          </cell>
          <cell r="L1189">
            <v>9.2200000000000006</v>
          </cell>
        </row>
        <row r="1190">
          <cell r="A1190" t="str">
            <v>MULTI MADEIRAS</v>
          </cell>
          <cell r="B1190" t="str">
            <v>07/2025</v>
          </cell>
          <cell r="H1190" t="str">
            <v>REVENDA</v>
          </cell>
          <cell r="K1190">
            <v>84.15</v>
          </cell>
          <cell r="L1190">
            <v>3.37</v>
          </cell>
        </row>
        <row r="1191">
          <cell r="A1191" t="str">
            <v>MULTI MADEIRAS</v>
          </cell>
          <cell r="B1191" t="str">
            <v>08/2025</v>
          </cell>
          <cell r="H1191" t="str">
            <v>REVENDA</v>
          </cell>
          <cell r="K1191">
            <v>84</v>
          </cell>
          <cell r="L1191">
            <v>10.08</v>
          </cell>
        </row>
        <row r="1192">
          <cell r="A1192" t="str">
            <v>MULTI MADEIRAS</v>
          </cell>
          <cell r="B1192" t="str">
            <v>08/2025</v>
          </cell>
          <cell r="H1192" t="str">
            <v>REVENDA</v>
          </cell>
          <cell r="K1192">
            <v>83.25</v>
          </cell>
          <cell r="L1192">
            <v>3.33</v>
          </cell>
        </row>
        <row r="1193">
          <cell r="A1193" t="str">
            <v>MULTI MADEIRAS</v>
          </cell>
          <cell r="B1193" t="str">
            <v>08/2025</v>
          </cell>
          <cell r="H1193" t="str">
            <v>REVENDA</v>
          </cell>
          <cell r="K1193">
            <v>83.04</v>
          </cell>
          <cell r="L1193">
            <v>9.06</v>
          </cell>
        </row>
        <row r="1194">
          <cell r="A1194" t="str">
            <v>MULTI MADEIRAS</v>
          </cell>
          <cell r="B1194" t="str">
            <v>07/2025</v>
          </cell>
          <cell r="H1194" t="str">
            <v>REVENDA</v>
          </cell>
          <cell r="K1194">
            <v>82.15</v>
          </cell>
          <cell r="L1194">
            <v>8.9600000000000009</v>
          </cell>
        </row>
        <row r="1195">
          <cell r="A1195" t="str">
            <v>MULTI MADEIRAS</v>
          </cell>
          <cell r="B1195" t="str">
            <v>08/2025</v>
          </cell>
          <cell r="H1195" t="str">
            <v>REVENDA</v>
          </cell>
          <cell r="K1195">
            <v>81.900000000000006</v>
          </cell>
          <cell r="L1195">
            <v>9.83</v>
          </cell>
        </row>
        <row r="1196">
          <cell r="A1196" t="str">
            <v>MULTI MADEIRAS</v>
          </cell>
          <cell r="B1196" t="str">
            <v>04/2025</v>
          </cell>
          <cell r="H1196" t="str">
            <v>REVENDA</v>
          </cell>
          <cell r="K1196">
            <v>81.900000000000006</v>
          </cell>
          <cell r="L1196">
            <v>9.83</v>
          </cell>
        </row>
        <row r="1197">
          <cell r="A1197" t="str">
            <v>KI ANGELIM</v>
          </cell>
          <cell r="B1197" t="str">
            <v>09/2025</v>
          </cell>
          <cell r="H1197" t="str">
            <v>REVENDA</v>
          </cell>
          <cell r="K1197">
            <v>81</v>
          </cell>
          <cell r="L1197">
            <v>0</v>
          </cell>
        </row>
        <row r="1198">
          <cell r="A1198" t="str">
            <v>MULTI MADEIRAS</v>
          </cell>
          <cell r="B1198" t="str">
            <v>09/2025</v>
          </cell>
          <cell r="H1198" t="str">
            <v>REVENDA</v>
          </cell>
          <cell r="K1198">
            <v>81</v>
          </cell>
          <cell r="L1198">
            <v>0</v>
          </cell>
        </row>
        <row r="1199">
          <cell r="A1199" t="str">
            <v>MULTI MADEIRAS</v>
          </cell>
          <cell r="B1199" t="str">
            <v>07/2025</v>
          </cell>
          <cell r="H1199" t="str">
            <v>REVENDA</v>
          </cell>
          <cell r="K1199">
            <v>80.78</v>
          </cell>
          <cell r="L1199">
            <v>3.23</v>
          </cell>
        </row>
        <row r="1200">
          <cell r="A1200" t="str">
            <v>MULTI MADEIRAS</v>
          </cell>
          <cell r="B1200" t="str">
            <v>09/2025</v>
          </cell>
          <cell r="H1200" t="str">
            <v>REVENDA</v>
          </cell>
          <cell r="K1200">
            <v>79.38</v>
          </cell>
          <cell r="L1200">
            <v>8.67</v>
          </cell>
        </row>
        <row r="1201">
          <cell r="A1201" t="str">
            <v>MULTI MADEIRAS</v>
          </cell>
          <cell r="B1201" t="str">
            <v>05/2025</v>
          </cell>
          <cell r="H1201" t="str">
            <v>REVENDA</v>
          </cell>
          <cell r="K1201">
            <v>79.38</v>
          </cell>
          <cell r="L1201">
            <v>8.66</v>
          </cell>
        </row>
        <row r="1202">
          <cell r="A1202" t="str">
            <v>MULTI MADEIRAS</v>
          </cell>
          <cell r="B1202" t="str">
            <v>04/2025</v>
          </cell>
          <cell r="H1202" t="str">
            <v>REVENDA</v>
          </cell>
          <cell r="K1202">
            <v>78.400000000000006</v>
          </cell>
          <cell r="L1202">
            <v>8.5500000000000007</v>
          </cell>
        </row>
        <row r="1203">
          <cell r="A1203" t="str">
            <v>MULTI MADEIRAS</v>
          </cell>
          <cell r="B1203" t="str">
            <v>09/2025</v>
          </cell>
          <cell r="H1203" t="str">
            <v>REVENDA</v>
          </cell>
          <cell r="K1203">
            <v>78.27</v>
          </cell>
          <cell r="L1203">
            <v>9.56</v>
          </cell>
        </row>
        <row r="1204">
          <cell r="A1204" t="str">
            <v>MULTI MADEIRAS</v>
          </cell>
          <cell r="B1204" t="str">
            <v>09/2025</v>
          </cell>
          <cell r="H1204" t="str">
            <v>REVENDA</v>
          </cell>
          <cell r="K1204">
            <v>78.27</v>
          </cell>
          <cell r="L1204">
            <v>9.5500000000000007</v>
          </cell>
        </row>
        <row r="1205">
          <cell r="A1205" t="str">
            <v>MULTI MADEIRAS</v>
          </cell>
          <cell r="B1205" t="str">
            <v>07/2025</v>
          </cell>
          <cell r="H1205" t="str">
            <v>REVENDA</v>
          </cell>
          <cell r="K1205">
            <v>77.94</v>
          </cell>
          <cell r="L1205">
            <v>8.51</v>
          </cell>
        </row>
        <row r="1206">
          <cell r="A1206" t="str">
            <v>MULTI MADEIRAS</v>
          </cell>
          <cell r="B1206" t="str">
            <v>05/2025</v>
          </cell>
          <cell r="H1206" t="str">
            <v>REVENDA</v>
          </cell>
          <cell r="K1206">
            <v>77.040000000000006</v>
          </cell>
          <cell r="L1206">
            <v>8.41</v>
          </cell>
        </row>
        <row r="1207">
          <cell r="A1207" t="str">
            <v>MULTI MADEIRAS</v>
          </cell>
          <cell r="B1207" t="str">
            <v>07/2025</v>
          </cell>
          <cell r="H1207" t="str">
            <v>REVENDA</v>
          </cell>
          <cell r="K1207">
            <v>76.88</v>
          </cell>
          <cell r="L1207">
            <v>3.08</v>
          </cell>
        </row>
        <row r="1208">
          <cell r="A1208" t="str">
            <v>MULTI MADEIRAS</v>
          </cell>
          <cell r="B1208" t="str">
            <v>07/2025</v>
          </cell>
          <cell r="H1208" t="str">
            <v>REVENDA</v>
          </cell>
          <cell r="K1208">
            <v>76.05</v>
          </cell>
          <cell r="L1208">
            <v>3.04</v>
          </cell>
        </row>
        <row r="1209">
          <cell r="A1209" t="str">
            <v>MULTI MADEIRAS</v>
          </cell>
          <cell r="B1209" t="str">
            <v>09/2025</v>
          </cell>
          <cell r="H1209" t="str">
            <v>REVENDA</v>
          </cell>
          <cell r="K1209">
            <v>75.959999999999994</v>
          </cell>
          <cell r="L1209">
            <v>8.2899999999999991</v>
          </cell>
        </row>
        <row r="1210">
          <cell r="A1210" t="str">
            <v>MULTI MADEIRAS</v>
          </cell>
          <cell r="B1210" t="str">
            <v>09/2025</v>
          </cell>
          <cell r="H1210" t="str">
            <v>REVENDA</v>
          </cell>
          <cell r="K1210">
            <v>75.150000000000006</v>
          </cell>
          <cell r="L1210">
            <v>8.1999999999999993</v>
          </cell>
        </row>
        <row r="1211">
          <cell r="A1211" t="str">
            <v>MULTI MADEIRAS</v>
          </cell>
          <cell r="B1211" t="str">
            <v>05/2025</v>
          </cell>
          <cell r="H1211" t="str">
            <v>REVENDA</v>
          </cell>
          <cell r="K1211">
            <v>75.150000000000006</v>
          </cell>
          <cell r="L1211">
            <v>8.1999999999999993</v>
          </cell>
        </row>
        <row r="1212">
          <cell r="A1212" t="str">
            <v>MULTI MADEIRAS</v>
          </cell>
          <cell r="B1212" t="str">
            <v>07/2025</v>
          </cell>
          <cell r="H1212" t="str">
            <v>REVENDA</v>
          </cell>
          <cell r="K1212">
            <v>74.930000000000007</v>
          </cell>
          <cell r="L1212">
            <v>3</v>
          </cell>
        </row>
        <row r="1213">
          <cell r="A1213" t="str">
            <v>MULTI MADEIRAS</v>
          </cell>
          <cell r="B1213" t="str">
            <v>05/2025</v>
          </cell>
          <cell r="H1213" t="str">
            <v>REVENDA</v>
          </cell>
          <cell r="K1213">
            <v>74.790000000000006</v>
          </cell>
          <cell r="L1213">
            <v>8.16</v>
          </cell>
        </row>
        <row r="1214">
          <cell r="A1214" t="str">
            <v>MULTI MADEIRAS</v>
          </cell>
          <cell r="B1214" t="str">
            <v>09/2025</v>
          </cell>
          <cell r="H1214" t="str">
            <v>REVENDA</v>
          </cell>
          <cell r="K1214">
            <v>74.64</v>
          </cell>
          <cell r="L1214">
            <v>8.14</v>
          </cell>
        </row>
        <row r="1215">
          <cell r="A1215" t="str">
            <v>MULTI MADEIRAS</v>
          </cell>
          <cell r="B1215" t="str">
            <v>08/2025</v>
          </cell>
          <cell r="H1215" t="str">
            <v>REVENDA</v>
          </cell>
          <cell r="K1215">
            <v>73.69</v>
          </cell>
          <cell r="L1215">
            <v>2.95</v>
          </cell>
        </row>
        <row r="1216">
          <cell r="A1216" t="str">
            <v>MULTI MADEIRAS</v>
          </cell>
          <cell r="B1216" t="str">
            <v>05/2025</v>
          </cell>
          <cell r="H1216" t="str">
            <v>REVENDA</v>
          </cell>
          <cell r="K1216">
            <v>73.53</v>
          </cell>
          <cell r="L1216">
            <v>8.02</v>
          </cell>
        </row>
        <row r="1217">
          <cell r="A1217" t="str">
            <v>MULTI MADEIRAS</v>
          </cell>
          <cell r="B1217" t="str">
            <v>07/2025</v>
          </cell>
          <cell r="H1217" t="str">
            <v>REVENDA</v>
          </cell>
          <cell r="K1217">
            <v>72.75</v>
          </cell>
          <cell r="L1217">
            <v>2.91</v>
          </cell>
        </row>
        <row r="1218">
          <cell r="A1218" t="str">
            <v>MULTI MADEIRAS</v>
          </cell>
          <cell r="B1218" t="str">
            <v>07/2025</v>
          </cell>
          <cell r="H1218" t="str">
            <v>REVENDA</v>
          </cell>
          <cell r="K1218">
            <v>72.16</v>
          </cell>
          <cell r="L1218">
            <v>7.87</v>
          </cell>
        </row>
        <row r="1219">
          <cell r="A1219" t="str">
            <v>MULTI MADEIRAS</v>
          </cell>
          <cell r="B1219" t="str">
            <v>07/2025</v>
          </cell>
          <cell r="H1219" t="str">
            <v>REVENDA</v>
          </cell>
          <cell r="K1219">
            <v>71.25</v>
          </cell>
          <cell r="L1219">
            <v>2.85</v>
          </cell>
        </row>
        <row r="1220">
          <cell r="A1220" t="str">
            <v>MULTI MADEIRAS</v>
          </cell>
          <cell r="B1220" t="str">
            <v>07/2025</v>
          </cell>
          <cell r="H1220" t="str">
            <v>REVENDA</v>
          </cell>
          <cell r="K1220">
            <v>70.88</v>
          </cell>
          <cell r="L1220">
            <v>2.84</v>
          </cell>
        </row>
        <row r="1221">
          <cell r="A1221" t="str">
            <v>MULTI MADEIRAS</v>
          </cell>
          <cell r="B1221" t="str">
            <v>07/2025</v>
          </cell>
          <cell r="H1221" t="str">
            <v>REVENDA</v>
          </cell>
          <cell r="K1221">
            <v>70.88</v>
          </cell>
          <cell r="L1221">
            <v>2.84</v>
          </cell>
        </row>
        <row r="1222">
          <cell r="A1222" t="str">
            <v>MULTI MADEIRAS</v>
          </cell>
          <cell r="B1222" t="str">
            <v>05/2025</v>
          </cell>
          <cell r="H1222" t="str">
            <v>REVENDA</v>
          </cell>
          <cell r="K1222">
            <v>70.38</v>
          </cell>
          <cell r="L1222">
            <v>7.68</v>
          </cell>
        </row>
        <row r="1223">
          <cell r="A1223" t="str">
            <v>MULTI MADEIRAS</v>
          </cell>
          <cell r="B1223" t="str">
            <v>07/2025</v>
          </cell>
          <cell r="H1223" t="str">
            <v>REVENDA</v>
          </cell>
          <cell r="K1223">
            <v>69.75</v>
          </cell>
          <cell r="L1223">
            <v>2.79</v>
          </cell>
        </row>
        <row r="1224">
          <cell r="A1224" t="str">
            <v>MULTI MADEIRAS</v>
          </cell>
          <cell r="B1224" t="str">
            <v>07/2025</v>
          </cell>
          <cell r="H1224" t="str">
            <v>REVENDA</v>
          </cell>
          <cell r="K1224">
            <v>69.75</v>
          </cell>
          <cell r="L1224">
            <v>2.79</v>
          </cell>
        </row>
        <row r="1225">
          <cell r="A1225" t="str">
            <v>MULTI MADEIRAS</v>
          </cell>
          <cell r="B1225" t="str">
            <v>04/2025</v>
          </cell>
          <cell r="H1225" t="str">
            <v>REVENDA</v>
          </cell>
          <cell r="K1225">
            <v>69.69</v>
          </cell>
          <cell r="L1225">
            <v>2.79</v>
          </cell>
        </row>
        <row r="1226">
          <cell r="A1226" t="str">
            <v>MULTI MADEIRAS</v>
          </cell>
          <cell r="B1226" t="str">
            <v>09/2025</v>
          </cell>
          <cell r="H1226" t="str">
            <v>REVENDA</v>
          </cell>
          <cell r="K1226">
            <v>68.31</v>
          </cell>
          <cell r="L1226">
            <v>7.45</v>
          </cell>
        </row>
        <row r="1227">
          <cell r="A1227" t="str">
            <v>MULTI MADEIRAS</v>
          </cell>
          <cell r="B1227" t="str">
            <v>09/2025</v>
          </cell>
          <cell r="H1227" t="str">
            <v>REVENDA</v>
          </cell>
          <cell r="K1227">
            <v>68.22</v>
          </cell>
          <cell r="L1227">
            <v>7.44</v>
          </cell>
        </row>
        <row r="1228">
          <cell r="A1228" t="str">
            <v>MULTI MADEIRAS</v>
          </cell>
          <cell r="B1228" t="str">
            <v>05/2025</v>
          </cell>
          <cell r="H1228" t="str">
            <v>REVENDA</v>
          </cell>
          <cell r="K1228">
            <v>67.86</v>
          </cell>
          <cell r="L1228">
            <v>7.4</v>
          </cell>
        </row>
        <row r="1229">
          <cell r="A1229" t="str">
            <v>MULTI MADEIRAS</v>
          </cell>
          <cell r="B1229" t="str">
            <v>05/2025</v>
          </cell>
          <cell r="H1229" t="str">
            <v>REVENDA</v>
          </cell>
          <cell r="K1229">
            <v>67.86</v>
          </cell>
          <cell r="L1229">
            <v>7.4</v>
          </cell>
        </row>
        <row r="1230">
          <cell r="A1230" t="str">
            <v>MULTI MADEIRAS</v>
          </cell>
          <cell r="B1230" t="str">
            <v>07/2025</v>
          </cell>
          <cell r="H1230" t="str">
            <v>REVENDA</v>
          </cell>
          <cell r="K1230">
            <v>67.5</v>
          </cell>
          <cell r="L1230">
            <v>2.7</v>
          </cell>
        </row>
        <row r="1231">
          <cell r="A1231" t="str">
            <v>MULTI MADEIRAS</v>
          </cell>
          <cell r="B1231" t="str">
            <v>07/2025</v>
          </cell>
          <cell r="H1231" t="str">
            <v>REVENDA</v>
          </cell>
          <cell r="K1231">
            <v>67.5</v>
          </cell>
          <cell r="L1231">
            <v>2.7</v>
          </cell>
        </row>
        <row r="1232">
          <cell r="A1232" t="str">
            <v>MULTI MADEIRAS</v>
          </cell>
          <cell r="B1232" t="str">
            <v>09/2025</v>
          </cell>
          <cell r="H1232" t="str">
            <v>REVENDA</v>
          </cell>
          <cell r="K1232">
            <v>66.69</v>
          </cell>
          <cell r="L1232">
            <v>7.27</v>
          </cell>
        </row>
        <row r="1233">
          <cell r="A1233" t="str">
            <v>MULTI MADEIRAS</v>
          </cell>
          <cell r="B1233" t="str">
            <v>08/2025</v>
          </cell>
          <cell r="H1233" t="str">
            <v>REVENDA</v>
          </cell>
          <cell r="K1233">
            <v>66.42</v>
          </cell>
          <cell r="L1233">
            <v>7.25</v>
          </cell>
        </row>
        <row r="1234">
          <cell r="A1234" t="str">
            <v>MULTI MADEIRAS</v>
          </cell>
          <cell r="B1234" t="str">
            <v>08/2025</v>
          </cell>
          <cell r="H1234" t="str">
            <v>REVENDA</v>
          </cell>
          <cell r="K1234">
            <v>66.42</v>
          </cell>
          <cell r="L1234">
            <v>7.25</v>
          </cell>
        </row>
        <row r="1235">
          <cell r="A1235" t="str">
            <v>MULTI MADEIRAS</v>
          </cell>
          <cell r="B1235" t="str">
            <v>07/2025</v>
          </cell>
          <cell r="H1235" t="str">
            <v>REVENDA</v>
          </cell>
          <cell r="K1235">
            <v>66.38</v>
          </cell>
          <cell r="L1235">
            <v>2.66</v>
          </cell>
        </row>
        <row r="1236">
          <cell r="A1236" t="str">
            <v>MULTI MADEIRAS</v>
          </cell>
          <cell r="B1236" t="str">
            <v>08/2025</v>
          </cell>
          <cell r="H1236" t="str">
            <v>REVENDA</v>
          </cell>
          <cell r="K1236">
            <v>66.36</v>
          </cell>
          <cell r="L1236">
            <v>7.24</v>
          </cell>
        </row>
        <row r="1237">
          <cell r="A1237" t="str">
            <v>MULTI MADEIRAS</v>
          </cell>
          <cell r="B1237" t="str">
            <v>08/2025</v>
          </cell>
          <cell r="H1237" t="str">
            <v>REVENDA</v>
          </cell>
          <cell r="K1237">
            <v>66.36</v>
          </cell>
          <cell r="L1237">
            <v>7.24</v>
          </cell>
        </row>
        <row r="1238">
          <cell r="A1238" t="str">
            <v>MULTI MADEIRAS</v>
          </cell>
          <cell r="B1238" t="str">
            <v>08/2025</v>
          </cell>
          <cell r="H1238" t="str">
            <v>REVENDA</v>
          </cell>
          <cell r="K1238">
            <v>66.36</v>
          </cell>
          <cell r="L1238">
            <v>7.24</v>
          </cell>
        </row>
        <row r="1239">
          <cell r="A1239" t="str">
            <v>MULTI MADEIRAS</v>
          </cell>
          <cell r="B1239" t="str">
            <v>09/2025</v>
          </cell>
          <cell r="H1239" t="str">
            <v>REVENDA</v>
          </cell>
          <cell r="K1239">
            <v>66.06</v>
          </cell>
          <cell r="L1239">
            <v>7.21</v>
          </cell>
        </row>
        <row r="1240">
          <cell r="A1240" t="str">
            <v>MULTI MADEIRAS</v>
          </cell>
          <cell r="B1240" t="str">
            <v>05/2025</v>
          </cell>
          <cell r="H1240" t="str">
            <v>REVENDA</v>
          </cell>
          <cell r="K1240">
            <v>66.040000000000006</v>
          </cell>
          <cell r="L1240">
            <v>7.2</v>
          </cell>
        </row>
        <row r="1241">
          <cell r="A1241" t="str">
            <v>MULTI MADEIRAS</v>
          </cell>
          <cell r="B1241" t="str">
            <v>07/2025</v>
          </cell>
          <cell r="H1241" t="str">
            <v>REVENDA</v>
          </cell>
          <cell r="K1241">
            <v>65.849999999999994</v>
          </cell>
          <cell r="L1241">
            <v>7.18</v>
          </cell>
        </row>
        <row r="1242">
          <cell r="A1242" t="str">
            <v>MULTI MADEIRAS</v>
          </cell>
          <cell r="B1242" t="str">
            <v>07/2025</v>
          </cell>
          <cell r="H1242" t="str">
            <v>REVENDA</v>
          </cell>
          <cell r="K1242">
            <v>65.069999999999993</v>
          </cell>
          <cell r="L1242">
            <v>7.1</v>
          </cell>
        </row>
        <row r="1243">
          <cell r="A1243" t="str">
            <v>MULTI MADEIRAS</v>
          </cell>
          <cell r="B1243" t="str">
            <v>04/2025</v>
          </cell>
          <cell r="H1243" t="str">
            <v>REVENDA</v>
          </cell>
          <cell r="K1243">
            <v>65</v>
          </cell>
          <cell r="L1243">
            <v>7.8</v>
          </cell>
        </row>
        <row r="1244">
          <cell r="A1244" t="str">
            <v>MULTI MADEIRAS</v>
          </cell>
          <cell r="B1244" t="str">
            <v>07/2025</v>
          </cell>
          <cell r="H1244" t="str">
            <v>REVENDA</v>
          </cell>
          <cell r="K1244">
            <v>65</v>
          </cell>
          <cell r="L1244">
            <v>7.8</v>
          </cell>
        </row>
        <row r="1245">
          <cell r="A1245" t="str">
            <v>MULTI MADEIRAS</v>
          </cell>
          <cell r="B1245" t="str">
            <v>08/2025</v>
          </cell>
          <cell r="H1245" t="str">
            <v>REVENDA</v>
          </cell>
          <cell r="K1245">
            <v>64.650000000000006</v>
          </cell>
          <cell r="L1245">
            <v>2.59</v>
          </cell>
        </row>
        <row r="1246">
          <cell r="A1246" t="str">
            <v>KI ANGELIM</v>
          </cell>
          <cell r="B1246" t="str">
            <v>09/2025</v>
          </cell>
          <cell r="H1246" t="str">
            <v>REVENDA</v>
          </cell>
          <cell r="K1246">
            <v>64.62</v>
          </cell>
          <cell r="L1246">
            <v>7.05</v>
          </cell>
        </row>
        <row r="1247">
          <cell r="A1247" t="str">
            <v>MULTI MADEIRAS</v>
          </cell>
          <cell r="B1247" t="str">
            <v>06/2025</v>
          </cell>
          <cell r="H1247" t="str">
            <v>REVENDA</v>
          </cell>
          <cell r="K1247">
            <v>64.5</v>
          </cell>
          <cell r="L1247">
            <v>7.74</v>
          </cell>
        </row>
        <row r="1248">
          <cell r="A1248" t="str">
            <v>MULTI MADEIRAS</v>
          </cell>
          <cell r="B1248" t="str">
            <v>04/2025</v>
          </cell>
          <cell r="H1248" t="str">
            <v>REVENDA</v>
          </cell>
          <cell r="K1248">
            <v>64.260000000000005</v>
          </cell>
          <cell r="L1248">
            <v>2.57</v>
          </cell>
        </row>
        <row r="1249">
          <cell r="A1249" t="str">
            <v>MULTI MADEIRAS</v>
          </cell>
          <cell r="B1249" t="str">
            <v>08/2025</v>
          </cell>
          <cell r="H1249" t="str">
            <v>REVENDA</v>
          </cell>
          <cell r="K1249">
            <v>63.5</v>
          </cell>
          <cell r="L1249">
            <v>2.5499999999999998</v>
          </cell>
        </row>
        <row r="1250">
          <cell r="A1250" t="str">
            <v>MULTI MADEIRAS</v>
          </cell>
          <cell r="B1250" t="str">
            <v>05/2025</v>
          </cell>
          <cell r="H1250" t="str">
            <v>REVENDA</v>
          </cell>
          <cell r="K1250">
            <v>63.48</v>
          </cell>
          <cell r="L1250">
            <v>7.62</v>
          </cell>
        </row>
        <row r="1251">
          <cell r="A1251" t="str">
            <v>MULTI MADEIRAS</v>
          </cell>
          <cell r="B1251" t="str">
            <v>07/2025</v>
          </cell>
          <cell r="H1251" t="str">
            <v>REVENDA</v>
          </cell>
          <cell r="K1251">
            <v>63.38</v>
          </cell>
          <cell r="L1251">
            <v>2.54</v>
          </cell>
        </row>
        <row r="1252">
          <cell r="A1252" t="str">
            <v>MULTI MADEIRAS</v>
          </cell>
          <cell r="B1252" t="str">
            <v>04/2025</v>
          </cell>
          <cell r="H1252" t="str">
            <v>REVENDA</v>
          </cell>
          <cell r="K1252">
            <v>63.38</v>
          </cell>
          <cell r="L1252">
            <v>2.54</v>
          </cell>
        </row>
        <row r="1253">
          <cell r="A1253" t="str">
            <v>MULTI MADEIRAS</v>
          </cell>
          <cell r="B1253" t="str">
            <v>07/2025</v>
          </cell>
          <cell r="H1253" t="str">
            <v>REVENDA</v>
          </cell>
          <cell r="K1253">
            <v>62.64</v>
          </cell>
          <cell r="L1253">
            <v>2.5099999999999998</v>
          </cell>
        </row>
        <row r="1254">
          <cell r="A1254" t="str">
            <v>MULTI MADEIRAS</v>
          </cell>
          <cell r="B1254" t="str">
            <v>07/2025</v>
          </cell>
          <cell r="H1254" t="str">
            <v>REVENDA</v>
          </cell>
          <cell r="K1254">
            <v>62.1</v>
          </cell>
          <cell r="L1254">
            <v>2.48</v>
          </cell>
        </row>
        <row r="1255">
          <cell r="A1255" t="str">
            <v>MULTI MADEIRAS</v>
          </cell>
          <cell r="B1255" t="str">
            <v>04/2025</v>
          </cell>
          <cell r="H1255" t="str">
            <v>REVENDA</v>
          </cell>
          <cell r="K1255">
            <v>61.61</v>
          </cell>
          <cell r="L1255">
            <v>2.46</v>
          </cell>
        </row>
        <row r="1256">
          <cell r="A1256" t="str">
            <v>MULTI MADEIRAS</v>
          </cell>
          <cell r="B1256" t="str">
            <v>04/2025</v>
          </cell>
          <cell r="H1256" t="str">
            <v>REVENDA</v>
          </cell>
          <cell r="K1256">
            <v>61.06</v>
          </cell>
          <cell r="L1256">
            <v>2.44</v>
          </cell>
        </row>
        <row r="1257">
          <cell r="A1257" t="str">
            <v>MULTI MADEIRAS</v>
          </cell>
          <cell r="B1257" t="str">
            <v>04/2025</v>
          </cell>
          <cell r="H1257" t="str">
            <v>REVENDA</v>
          </cell>
          <cell r="K1257">
            <v>60.61</v>
          </cell>
          <cell r="L1257">
            <v>2.42</v>
          </cell>
        </row>
        <row r="1258">
          <cell r="A1258" t="str">
            <v>MULTI MADEIRAS</v>
          </cell>
          <cell r="B1258" t="str">
            <v>05/2025</v>
          </cell>
          <cell r="H1258" t="str">
            <v>REVENDA</v>
          </cell>
          <cell r="K1258">
            <v>60.57</v>
          </cell>
          <cell r="L1258">
            <v>6.61</v>
          </cell>
        </row>
        <row r="1259">
          <cell r="A1259" t="str">
            <v>MULTI MADEIRAS</v>
          </cell>
          <cell r="B1259" t="str">
            <v>07/2025</v>
          </cell>
          <cell r="H1259" t="str">
            <v>REVENDA</v>
          </cell>
          <cell r="K1259">
            <v>60.57</v>
          </cell>
          <cell r="L1259">
            <v>6.61</v>
          </cell>
        </row>
        <row r="1260">
          <cell r="A1260" t="str">
            <v>MULTI MADEIRAS</v>
          </cell>
          <cell r="B1260" t="str">
            <v>05/2025</v>
          </cell>
          <cell r="H1260" t="str">
            <v>REVENDA</v>
          </cell>
          <cell r="K1260">
            <v>60.56</v>
          </cell>
          <cell r="L1260">
            <v>6.61</v>
          </cell>
        </row>
        <row r="1261">
          <cell r="A1261" t="str">
            <v>MULTI MADEIRAS</v>
          </cell>
          <cell r="B1261" t="str">
            <v>04/2025</v>
          </cell>
          <cell r="H1261" t="str">
            <v>REVENDA</v>
          </cell>
          <cell r="K1261">
            <v>58.16</v>
          </cell>
          <cell r="L1261">
            <v>2.33</v>
          </cell>
        </row>
        <row r="1262">
          <cell r="A1262" t="str">
            <v>MULTI MADEIRAS</v>
          </cell>
          <cell r="B1262" t="str">
            <v>05/2025</v>
          </cell>
          <cell r="H1262" t="str">
            <v>REVENDA</v>
          </cell>
          <cell r="K1262">
            <v>58.04</v>
          </cell>
          <cell r="L1262">
            <v>6.33</v>
          </cell>
        </row>
        <row r="1263">
          <cell r="A1263" t="str">
            <v>MULTI MADEIRAS</v>
          </cell>
          <cell r="B1263" t="str">
            <v>08/2025</v>
          </cell>
          <cell r="H1263" t="str">
            <v>REVENDA</v>
          </cell>
          <cell r="K1263">
            <v>57.96</v>
          </cell>
          <cell r="L1263">
            <v>6.96</v>
          </cell>
        </row>
        <row r="1264">
          <cell r="A1264" t="str">
            <v>MULTI MADEIRAS</v>
          </cell>
          <cell r="B1264" t="str">
            <v>09/2025</v>
          </cell>
          <cell r="H1264" t="str">
            <v>REVENDA</v>
          </cell>
          <cell r="K1264">
            <v>57.2</v>
          </cell>
          <cell r="L1264">
            <v>6.24</v>
          </cell>
        </row>
        <row r="1265">
          <cell r="A1265" t="str">
            <v>MULTI MADEIRAS</v>
          </cell>
          <cell r="B1265" t="str">
            <v>08/2025</v>
          </cell>
          <cell r="H1265" t="str">
            <v>REVENDA</v>
          </cell>
          <cell r="K1265">
            <v>56.78</v>
          </cell>
          <cell r="L1265">
            <v>6.84</v>
          </cell>
        </row>
        <row r="1266">
          <cell r="A1266" t="str">
            <v>MULTI MADEIRAS</v>
          </cell>
          <cell r="B1266" t="str">
            <v>07/2025</v>
          </cell>
          <cell r="H1266" t="str">
            <v>REVENDA</v>
          </cell>
          <cell r="K1266">
            <v>55.39</v>
          </cell>
          <cell r="L1266">
            <v>2.2200000000000002</v>
          </cell>
        </row>
        <row r="1267">
          <cell r="A1267" t="str">
            <v>MULTI MADEIRAS</v>
          </cell>
          <cell r="B1267" t="str">
            <v>07/2025</v>
          </cell>
          <cell r="H1267" t="str">
            <v>REVENDA</v>
          </cell>
          <cell r="K1267">
            <v>55.17</v>
          </cell>
          <cell r="L1267">
            <v>2.21</v>
          </cell>
        </row>
        <row r="1268">
          <cell r="A1268" t="str">
            <v>MULTI MADEIRAS</v>
          </cell>
          <cell r="B1268" t="str">
            <v>08/2025</v>
          </cell>
          <cell r="H1268" t="str">
            <v>REVENDA</v>
          </cell>
          <cell r="K1268">
            <v>54.84</v>
          </cell>
          <cell r="L1268">
            <v>5.98</v>
          </cell>
        </row>
        <row r="1269">
          <cell r="A1269" t="str">
            <v>MULTI MADEIRAS</v>
          </cell>
          <cell r="B1269" t="str">
            <v>09/2025</v>
          </cell>
          <cell r="H1269" t="str">
            <v>REVENDA</v>
          </cell>
          <cell r="K1269">
            <v>54.31</v>
          </cell>
          <cell r="L1269">
            <v>2.17</v>
          </cell>
        </row>
        <row r="1270">
          <cell r="A1270" t="str">
            <v>MULTI MADEIRAS</v>
          </cell>
          <cell r="B1270" t="str">
            <v>07/2025</v>
          </cell>
          <cell r="H1270" t="str">
            <v>REVENDA</v>
          </cell>
          <cell r="K1270">
            <v>54.2</v>
          </cell>
          <cell r="L1270">
            <v>2.17</v>
          </cell>
        </row>
        <row r="1271">
          <cell r="A1271" t="str">
            <v>MULTI MADEIRAS</v>
          </cell>
          <cell r="B1271" t="str">
            <v>06/2025</v>
          </cell>
          <cell r="H1271" t="str">
            <v>REVENDA</v>
          </cell>
          <cell r="K1271">
            <v>54</v>
          </cell>
          <cell r="L1271">
            <v>0</v>
          </cell>
        </row>
        <row r="1272">
          <cell r="A1272" t="str">
            <v>MULTI MADEIRAS</v>
          </cell>
          <cell r="B1272" t="str">
            <v>04/2025</v>
          </cell>
          <cell r="H1272" t="str">
            <v>REVENDA</v>
          </cell>
          <cell r="K1272">
            <v>53.81</v>
          </cell>
          <cell r="L1272">
            <v>2.15</v>
          </cell>
        </row>
        <row r="1273">
          <cell r="A1273" t="str">
            <v>MULTI MADEIRAS</v>
          </cell>
          <cell r="B1273" t="str">
            <v>08/2025</v>
          </cell>
          <cell r="H1273" t="str">
            <v>REVENDA</v>
          </cell>
          <cell r="K1273">
            <v>53.45</v>
          </cell>
          <cell r="L1273">
            <v>2.14</v>
          </cell>
        </row>
        <row r="1274">
          <cell r="A1274" t="str">
            <v>MULTI MADEIRAS</v>
          </cell>
          <cell r="B1274" t="str">
            <v>07/2025</v>
          </cell>
          <cell r="H1274" t="str">
            <v>REVENDA</v>
          </cell>
          <cell r="K1274">
            <v>51.36</v>
          </cell>
          <cell r="L1274">
            <v>5.6</v>
          </cell>
        </row>
        <row r="1275">
          <cell r="A1275" t="str">
            <v>MULTI MADEIRAS</v>
          </cell>
          <cell r="B1275" t="str">
            <v>08/2025</v>
          </cell>
          <cell r="H1275" t="str">
            <v>REVENDA</v>
          </cell>
          <cell r="K1275">
            <v>51.24</v>
          </cell>
          <cell r="L1275">
            <v>6.15</v>
          </cell>
        </row>
        <row r="1276">
          <cell r="A1276" t="str">
            <v>MULTI MADEIRAS</v>
          </cell>
          <cell r="B1276" t="str">
            <v>04/2025</v>
          </cell>
          <cell r="H1276" t="str">
            <v>REVENDA</v>
          </cell>
          <cell r="K1276">
            <v>50.9</v>
          </cell>
          <cell r="L1276">
            <v>2.04</v>
          </cell>
        </row>
        <row r="1277">
          <cell r="A1277" t="str">
            <v>MULTI MADEIRAS</v>
          </cell>
          <cell r="B1277" t="str">
            <v>05/2025</v>
          </cell>
          <cell r="H1277" t="str">
            <v>REVENDA</v>
          </cell>
          <cell r="K1277">
            <v>50.22</v>
          </cell>
          <cell r="L1277">
            <v>5.48</v>
          </cell>
        </row>
        <row r="1278">
          <cell r="A1278" t="str">
            <v>MULTI MADEIRAS</v>
          </cell>
          <cell r="B1278" t="str">
            <v>08/2025</v>
          </cell>
          <cell r="H1278" t="str">
            <v>REVENDA</v>
          </cell>
          <cell r="K1278">
            <v>49.78</v>
          </cell>
          <cell r="L1278">
            <v>2</v>
          </cell>
        </row>
        <row r="1279">
          <cell r="A1279" t="str">
            <v>MULTI MADEIRAS</v>
          </cell>
          <cell r="B1279" t="str">
            <v>07/2025</v>
          </cell>
          <cell r="H1279" t="str">
            <v>REVENDA</v>
          </cell>
          <cell r="K1279">
            <v>49.5</v>
          </cell>
          <cell r="L1279">
            <v>1.98</v>
          </cell>
        </row>
        <row r="1280">
          <cell r="A1280" t="str">
            <v>MULTI MADEIRAS</v>
          </cell>
          <cell r="B1280" t="str">
            <v>07/2025</v>
          </cell>
          <cell r="H1280" t="str">
            <v>REVENDA</v>
          </cell>
          <cell r="K1280">
            <v>49.5</v>
          </cell>
          <cell r="L1280">
            <v>1.98</v>
          </cell>
        </row>
        <row r="1281">
          <cell r="A1281" t="str">
            <v>MULTI MADEIRAS</v>
          </cell>
          <cell r="B1281" t="str">
            <v>07/2025</v>
          </cell>
          <cell r="H1281" t="str">
            <v>REVENDA</v>
          </cell>
          <cell r="K1281">
            <v>49.13</v>
          </cell>
          <cell r="L1281">
            <v>1.97</v>
          </cell>
        </row>
        <row r="1282">
          <cell r="A1282" t="str">
            <v>MULTI MADEIRAS</v>
          </cell>
          <cell r="B1282" t="str">
            <v>08/2025</v>
          </cell>
          <cell r="H1282" t="str">
            <v>REVENDA</v>
          </cell>
          <cell r="K1282">
            <v>48.96</v>
          </cell>
          <cell r="L1282">
            <v>7.2</v>
          </cell>
        </row>
        <row r="1283">
          <cell r="A1283" t="str">
            <v>MULTI MADEIRAS</v>
          </cell>
          <cell r="B1283" t="str">
            <v>07/2025</v>
          </cell>
          <cell r="H1283" t="str">
            <v>REVENDA</v>
          </cell>
          <cell r="K1283">
            <v>48</v>
          </cell>
          <cell r="L1283">
            <v>1.92</v>
          </cell>
        </row>
        <row r="1284">
          <cell r="A1284" t="str">
            <v>MULTI MADEIRAS</v>
          </cell>
          <cell r="B1284" t="str">
            <v>09/2025</v>
          </cell>
          <cell r="H1284" t="str">
            <v>REVENDA</v>
          </cell>
          <cell r="K1284">
            <v>44.55</v>
          </cell>
          <cell r="L1284">
            <v>4.8600000000000003</v>
          </cell>
        </row>
        <row r="1285">
          <cell r="A1285" t="str">
            <v>MULTI MADEIRAS</v>
          </cell>
          <cell r="B1285" t="str">
            <v>07/2025</v>
          </cell>
          <cell r="H1285" t="str">
            <v>REVENDA</v>
          </cell>
          <cell r="K1285">
            <v>44.55</v>
          </cell>
          <cell r="L1285">
            <v>4.8600000000000003</v>
          </cell>
        </row>
        <row r="1286">
          <cell r="A1286" t="str">
            <v>MULTI MADEIRAS</v>
          </cell>
          <cell r="B1286" t="str">
            <v>05/2025</v>
          </cell>
          <cell r="H1286" t="str">
            <v>REVENDA</v>
          </cell>
          <cell r="K1286">
            <v>44.55</v>
          </cell>
          <cell r="L1286">
            <v>4.8600000000000003</v>
          </cell>
        </row>
        <row r="1287">
          <cell r="A1287" t="str">
            <v>MULTI MADEIRAS</v>
          </cell>
          <cell r="B1287" t="str">
            <v>08/2025</v>
          </cell>
          <cell r="H1287" t="str">
            <v>REVENDA</v>
          </cell>
          <cell r="K1287">
            <v>44.41</v>
          </cell>
          <cell r="L1287">
            <v>1.78</v>
          </cell>
        </row>
        <row r="1288">
          <cell r="A1288" t="str">
            <v>MULTI MADEIRAS</v>
          </cell>
          <cell r="B1288" t="str">
            <v>08/2025</v>
          </cell>
          <cell r="H1288" t="str">
            <v>REVENDA</v>
          </cell>
          <cell r="K1288">
            <v>44.41</v>
          </cell>
          <cell r="L1288">
            <v>1.78</v>
          </cell>
        </row>
        <row r="1289">
          <cell r="A1289" t="str">
            <v>MULTI MADEIRAS</v>
          </cell>
          <cell r="B1289" t="str">
            <v>07/2025</v>
          </cell>
          <cell r="H1289" t="str">
            <v>REVENDA</v>
          </cell>
          <cell r="K1289">
            <v>44.08</v>
          </cell>
          <cell r="L1289">
            <v>1.76</v>
          </cell>
        </row>
        <row r="1290">
          <cell r="A1290" t="str">
            <v>MULTI MADEIRAS</v>
          </cell>
          <cell r="B1290" t="str">
            <v>05/2025</v>
          </cell>
          <cell r="H1290" t="str">
            <v>REVENDA</v>
          </cell>
          <cell r="K1290">
            <v>44</v>
          </cell>
          <cell r="L1290">
            <v>5.28</v>
          </cell>
        </row>
        <row r="1291">
          <cell r="A1291" t="str">
            <v>MULTI MADEIRAS</v>
          </cell>
          <cell r="B1291" t="str">
            <v>04/2025</v>
          </cell>
          <cell r="H1291" t="str">
            <v>REVENDA</v>
          </cell>
          <cell r="K1291">
            <v>43.86</v>
          </cell>
          <cell r="L1291">
            <v>4.79</v>
          </cell>
        </row>
        <row r="1292">
          <cell r="A1292" t="str">
            <v>MULTI MADEIRAS</v>
          </cell>
          <cell r="B1292" t="str">
            <v>05/2025</v>
          </cell>
          <cell r="H1292" t="str">
            <v>REVENDA</v>
          </cell>
          <cell r="K1292">
            <v>43.74</v>
          </cell>
          <cell r="L1292">
            <v>4.78</v>
          </cell>
        </row>
        <row r="1293">
          <cell r="A1293" t="str">
            <v>MULTI MADEIRAS</v>
          </cell>
          <cell r="B1293" t="str">
            <v>07/2025</v>
          </cell>
          <cell r="H1293" t="str">
            <v>REVENDA</v>
          </cell>
          <cell r="K1293">
            <v>43.68</v>
          </cell>
          <cell r="L1293">
            <v>5.24</v>
          </cell>
        </row>
        <row r="1294">
          <cell r="A1294" t="str">
            <v>MULTI MADEIRAS</v>
          </cell>
          <cell r="B1294" t="str">
            <v>04/2025</v>
          </cell>
          <cell r="H1294" t="str">
            <v>REVENDA</v>
          </cell>
          <cell r="K1294">
            <v>43.68</v>
          </cell>
          <cell r="L1294">
            <v>5.24</v>
          </cell>
        </row>
        <row r="1295">
          <cell r="A1295" t="str">
            <v>MULTI MADEIRAS</v>
          </cell>
          <cell r="B1295" t="str">
            <v>08/2025</v>
          </cell>
          <cell r="H1295" t="str">
            <v>REVENDA</v>
          </cell>
          <cell r="K1295">
            <v>43.24</v>
          </cell>
          <cell r="L1295">
            <v>5.19</v>
          </cell>
        </row>
        <row r="1296">
          <cell r="A1296" t="str">
            <v>MULTI MADEIRAS</v>
          </cell>
          <cell r="B1296" t="str">
            <v>07/2025</v>
          </cell>
          <cell r="H1296" t="str">
            <v>REVENDA</v>
          </cell>
          <cell r="K1296">
            <v>42.75</v>
          </cell>
          <cell r="L1296">
            <v>1.71</v>
          </cell>
        </row>
        <row r="1297">
          <cell r="A1297" t="str">
            <v>MULTI MADEIRAS</v>
          </cell>
          <cell r="B1297" t="str">
            <v>09/2025</v>
          </cell>
          <cell r="H1297" t="str">
            <v>REVENDA</v>
          </cell>
          <cell r="K1297">
            <v>42.39</v>
          </cell>
          <cell r="L1297">
            <v>4.63</v>
          </cell>
        </row>
        <row r="1298">
          <cell r="A1298" t="str">
            <v>MULTI MADEIRAS</v>
          </cell>
          <cell r="B1298" t="str">
            <v>04/2025</v>
          </cell>
          <cell r="H1298" t="str">
            <v>REVENDA</v>
          </cell>
          <cell r="K1298">
            <v>42</v>
          </cell>
          <cell r="L1298">
            <v>5.04</v>
          </cell>
        </row>
        <row r="1299">
          <cell r="A1299" t="str">
            <v>MULTI MADEIRAS</v>
          </cell>
          <cell r="B1299" t="str">
            <v>04/2025</v>
          </cell>
          <cell r="H1299" t="str">
            <v>REVENDA</v>
          </cell>
          <cell r="K1299">
            <v>41.76</v>
          </cell>
          <cell r="L1299">
            <v>1.67</v>
          </cell>
        </row>
        <row r="1300">
          <cell r="A1300" t="str">
            <v>MULTI MADEIRAS</v>
          </cell>
          <cell r="B1300" t="str">
            <v>05/2025</v>
          </cell>
          <cell r="H1300" t="str">
            <v>REVENDA</v>
          </cell>
          <cell r="K1300">
            <v>41.4</v>
          </cell>
          <cell r="L1300">
            <v>4.5199999999999996</v>
          </cell>
        </row>
        <row r="1301">
          <cell r="A1301" t="str">
            <v>MULTI MADEIRAS</v>
          </cell>
          <cell r="B1301" t="str">
            <v>08/2025</v>
          </cell>
          <cell r="H1301" t="str">
            <v>REVENDA</v>
          </cell>
          <cell r="K1301">
            <v>41.27</v>
          </cell>
          <cell r="L1301">
            <v>1.65</v>
          </cell>
        </row>
        <row r="1302">
          <cell r="A1302" t="str">
            <v>MULTI MADEIRAS</v>
          </cell>
          <cell r="B1302" t="str">
            <v>08/2025</v>
          </cell>
          <cell r="H1302" t="str">
            <v>REVENDA</v>
          </cell>
          <cell r="K1302">
            <v>41.16</v>
          </cell>
          <cell r="L1302">
            <v>1.65</v>
          </cell>
        </row>
        <row r="1303">
          <cell r="A1303" t="str">
            <v>MULTI MADEIRAS</v>
          </cell>
          <cell r="B1303" t="str">
            <v>07/2025</v>
          </cell>
          <cell r="H1303" t="str">
            <v>REVENDA</v>
          </cell>
          <cell r="K1303">
            <v>40.82</v>
          </cell>
          <cell r="L1303">
            <v>1.63</v>
          </cell>
        </row>
        <row r="1304">
          <cell r="A1304" t="str">
            <v>MULTI MADEIRAS</v>
          </cell>
          <cell r="B1304" t="str">
            <v>08/2025</v>
          </cell>
          <cell r="H1304" t="str">
            <v>REVENDA</v>
          </cell>
          <cell r="K1304">
            <v>40.74</v>
          </cell>
          <cell r="L1304">
            <v>1.63</v>
          </cell>
        </row>
        <row r="1305">
          <cell r="A1305" t="str">
            <v>MULTI MADEIRAS</v>
          </cell>
          <cell r="B1305" t="str">
            <v>08/2025</v>
          </cell>
          <cell r="H1305" t="str">
            <v>REVENDA</v>
          </cell>
          <cell r="K1305">
            <v>40.549999999999997</v>
          </cell>
          <cell r="L1305">
            <v>4.88</v>
          </cell>
        </row>
        <row r="1306">
          <cell r="A1306" t="str">
            <v>MULTI MADEIRAS</v>
          </cell>
          <cell r="B1306" t="str">
            <v>08/2025</v>
          </cell>
          <cell r="H1306" t="str">
            <v>REVENDA</v>
          </cell>
          <cell r="K1306">
            <v>40.29</v>
          </cell>
          <cell r="L1306">
            <v>4.8499999999999996</v>
          </cell>
        </row>
        <row r="1307">
          <cell r="A1307" t="str">
            <v>MULTI MADEIRAS</v>
          </cell>
          <cell r="B1307" t="str">
            <v>05/2025</v>
          </cell>
          <cell r="H1307" t="str">
            <v>REVENDA</v>
          </cell>
          <cell r="K1307">
            <v>39.6</v>
          </cell>
          <cell r="L1307">
            <v>4.32</v>
          </cell>
        </row>
        <row r="1308">
          <cell r="A1308" t="str">
            <v>MULTI MADEIRAS</v>
          </cell>
          <cell r="B1308" t="str">
            <v>07/2025</v>
          </cell>
          <cell r="H1308" t="str">
            <v>REVENDA</v>
          </cell>
          <cell r="K1308">
            <v>39.380000000000003</v>
          </cell>
          <cell r="L1308">
            <v>1.58</v>
          </cell>
        </row>
        <row r="1309">
          <cell r="A1309" t="str">
            <v>MULTI MADEIRAS</v>
          </cell>
          <cell r="B1309" t="str">
            <v>07/2025</v>
          </cell>
          <cell r="H1309" t="str">
            <v>REVENDA</v>
          </cell>
          <cell r="K1309">
            <v>38.549999999999997</v>
          </cell>
          <cell r="L1309">
            <v>1.54</v>
          </cell>
        </row>
        <row r="1310">
          <cell r="A1310" t="str">
            <v>MULTI MADEIRAS</v>
          </cell>
          <cell r="B1310" t="str">
            <v>05/2025</v>
          </cell>
          <cell r="H1310" t="str">
            <v>REVENDA</v>
          </cell>
          <cell r="K1310">
            <v>37.26</v>
          </cell>
          <cell r="L1310">
            <v>4.07</v>
          </cell>
        </row>
        <row r="1311">
          <cell r="A1311" t="str">
            <v>MULTI MADEIRAS</v>
          </cell>
          <cell r="B1311" t="str">
            <v>09/2025</v>
          </cell>
          <cell r="H1311" t="str">
            <v>REVENDA</v>
          </cell>
          <cell r="K1311">
            <v>37.26</v>
          </cell>
          <cell r="L1311">
            <v>4.07</v>
          </cell>
        </row>
        <row r="1312">
          <cell r="A1312" t="str">
            <v>MULTI MADEIRAS</v>
          </cell>
          <cell r="B1312" t="str">
            <v>07/2025</v>
          </cell>
          <cell r="H1312" t="str">
            <v>REVENDA</v>
          </cell>
          <cell r="K1312">
            <v>36.65</v>
          </cell>
          <cell r="L1312">
            <v>1.47</v>
          </cell>
        </row>
        <row r="1313">
          <cell r="A1313" t="str">
            <v>MULTI MADEIRAS</v>
          </cell>
          <cell r="B1313" t="str">
            <v>07/2025</v>
          </cell>
          <cell r="H1313" t="str">
            <v>REVENDA</v>
          </cell>
          <cell r="K1313">
            <v>36.450000000000003</v>
          </cell>
          <cell r="L1313">
            <v>3.97</v>
          </cell>
        </row>
        <row r="1314">
          <cell r="A1314" t="str">
            <v>MULTI MADEIRAS</v>
          </cell>
          <cell r="B1314" t="str">
            <v>05/2025</v>
          </cell>
          <cell r="H1314" t="str">
            <v>REVENDA</v>
          </cell>
          <cell r="K1314">
            <v>36.450000000000003</v>
          </cell>
          <cell r="L1314">
            <v>3.97</v>
          </cell>
        </row>
        <row r="1315">
          <cell r="A1315" t="str">
            <v>MULTI MADEIRAS</v>
          </cell>
          <cell r="B1315" t="str">
            <v>07/2025</v>
          </cell>
          <cell r="H1315" t="str">
            <v>REVENDA</v>
          </cell>
          <cell r="K1315">
            <v>36</v>
          </cell>
          <cell r="L1315">
            <v>1.44</v>
          </cell>
        </row>
        <row r="1316">
          <cell r="A1316" t="str">
            <v>MULTI MADEIRAS</v>
          </cell>
          <cell r="B1316" t="str">
            <v>07/2025</v>
          </cell>
          <cell r="H1316" t="str">
            <v>REVENDA</v>
          </cell>
          <cell r="K1316">
            <v>36</v>
          </cell>
          <cell r="L1316">
            <v>1.44</v>
          </cell>
        </row>
        <row r="1317">
          <cell r="A1317" t="str">
            <v>MULTI MADEIRAS</v>
          </cell>
          <cell r="B1317" t="str">
            <v>09/2025</v>
          </cell>
          <cell r="H1317" t="str">
            <v>REVENDA</v>
          </cell>
          <cell r="K1317">
            <v>34.21</v>
          </cell>
          <cell r="L1317">
            <v>3.73</v>
          </cell>
        </row>
        <row r="1318">
          <cell r="A1318" t="str">
            <v>MULTI MADEIRAS</v>
          </cell>
          <cell r="B1318" t="str">
            <v>07/2025</v>
          </cell>
          <cell r="H1318" t="str">
            <v>REVENDA</v>
          </cell>
          <cell r="K1318">
            <v>34.21</v>
          </cell>
          <cell r="L1318">
            <v>3.73</v>
          </cell>
        </row>
        <row r="1319">
          <cell r="A1319" t="str">
            <v>MULTI MADEIRAS</v>
          </cell>
          <cell r="B1319" t="str">
            <v>05/2025</v>
          </cell>
          <cell r="H1319" t="str">
            <v>REVENDA</v>
          </cell>
          <cell r="K1319">
            <v>34.11</v>
          </cell>
          <cell r="L1319">
            <v>3.72</v>
          </cell>
        </row>
        <row r="1320">
          <cell r="A1320" t="str">
            <v>MULTI MADEIRAS</v>
          </cell>
          <cell r="B1320" t="str">
            <v>07/2025</v>
          </cell>
          <cell r="H1320" t="str">
            <v>REVENDA</v>
          </cell>
          <cell r="K1320">
            <v>33.6</v>
          </cell>
          <cell r="L1320">
            <v>4.03</v>
          </cell>
        </row>
        <row r="1321">
          <cell r="A1321" t="str">
            <v>MULTI MADEIRAS</v>
          </cell>
          <cell r="B1321" t="str">
            <v>09/2025</v>
          </cell>
          <cell r="H1321" t="str">
            <v>REVENDA</v>
          </cell>
          <cell r="K1321">
            <v>33.479999999999997</v>
          </cell>
          <cell r="L1321">
            <v>3.65</v>
          </cell>
        </row>
        <row r="1322">
          <cell r="A1322" t="str">
            <v>MULTI MADEIRAS</v>
          </cell>
          <cell r="B1322" t="str">
            <v>05/2025</v>
          </cell>
          <cell r="H1322" t="str">
            <v>REVENDA</v>
          </cell>
          <cell r="K1322">
            <v>33.299999999999997</v>
          </cell>
          <cell r="L1322">
            <v>3.63</v>
          </cell>
        </row>
        <row r="1323">
          <cell r="A1323" t="str">
            <v>MULTI MADEIRAS</v>
          </cell>
          <cell r="B1323" t="str">
            <v>04/2025</v>
          </cell>
          <cell r="H1323" t="str">
            <v>REVENDA</v>
          </cell>
          <cell r="K1323">
            <v>33.200000000000003</v>
          </cell>
          <cell r="L1323">
            <v>3.62</v>
          </cell>
        </row>
        <row r="1324">
          <cell r="A1324" t="str">
            <v>MULTI MADEIRAS</v>
          </cell>
          <cell r="B1324" t="str">
            <v>09/2025</v>
          </cell>
          <cell r="H1324" t="str">
            <v>REVENDA</v>
          </cell>
          <cell r="K1324">
            <v>33</v>
          </cell>
          <cell r="L1324">
            <v>3.6</v>
          </cell>
        </row>
        <row r="1325">
          <cell r="A1325" t="str">
            <v>MULTI MADEIRAS</v>
          </cell>
          <cell r="B1325" t="str">
            <v>05/2025</v>
          </cell>
          <cell r="H1325" t="str">
            <v>REVENDA</v>
          </cell>
          <cell r="K1325">
            <v>32.94</v>
          </cell>
          <cell r="L1325">
            <v>3.59</v>
          </cell>
        </row>
        <row r="1326">
          <cell r="A1326" t="str">
            <v>MULTI MADEIRAS</v>
          </cell>
          <cell r="B1326" t="str">
            <v>07/2025</v>
          </cell>
          <cell r="H1326" t="str">
            <v>REVENDA</v>
          </cell>
          <cell r="K1326">
            <v>32.92</v>
          </cell>
          <cell r="L1326">
            <v>1.32</v>
          </cell>
        </row>
        <row r="1327">
          <cell r="A1327" t="str">
            <v>MULTI MADEIRAS</v>
          </cell>
          <cell r="B1327" t="str">
            <v>07/2025</v>
          </cell>
          <cell r="H1327" t="str">
            <v>REVENDA</v>
          </cell>
          <cell r="K1327">
            <v>32.82</v>
          </cell>
          <cell r="L1327">
            <v>1.31</v>
          </cell>
        </row>
        <row r="1328">
          <cell r="A1328" t="str">
            <v>MULTI MADEIRAS</v>
          </cell>
          <cell r="B1328" t="str">
            <v>07/2025</v>
          </cell>
          <cell r="H1328" t="str">
            <v>REVENDA</v>
          </cell>
          <cell r="K1328">
            <v>32.4</v>
          </cell>
          <cell r="L1328">
            <v>1.3</v>
          </cell>
        </row>
        <row r="1329">
          <cell r="A1329" t="str">
            <v>MULTI MADEIRAS</v>
          </cell>
          <cell r="B1329" t="str">
            <v>07/2025</v>
          </cell>
          <cell r="H1329" t="str">
            <v>REVENDA</v>
          </cell>
          <cell r="K1329">
            <v>32.4</v>
          </cell>
          <cell r="L1329">
            <v>1.3</v>
          </cell>
        </row>
        <row r="1330">
          <cell r="A1330" t="str">
            <v>MULTI MADEIRAS</v>
          </cell>
          <cell r="B1330" t="str">
            <v>07/2025</v>
          </cell>
          <cell r="H1330" t="str">
            <v>REVENDA</v>
          </cell>
          <cell r="K1330">
            <v>32.4</v>
          </cell>
          <cell r="L1330">
            <v>1.3</v>
          </cell>
        </row>
        <row r="1331">
          <cell r="A1331" t="str">
            <v>MULTI MADEIRAS</v>
          </cell>
          <cell r="B1331" t="str">
            <v>07/2025</v>
          </cell>
          <cell r="H1331" t="str">
            <v>REVENDA</v>
          </cell>
          <cell r="K1331">
            <v>32.36</v>
          </cell>
          <cell r="L1331">
            <v>1.29</v>
          </cell>
        </row>
        <row r="1332">
          <cell r="A1332" t="str">
            <v>MULTI MADEIRAS</v>
          </cell>
          <cell r="B1332" t="str">
            <v>07/2025</v>
          </cell>
          <cell r="H1332" t="str">
            <v>REVENDA</v>
          </cell>
          <cell r="K1332">
            <v>31.2</v>
          </cell>
          <cell r="L1332">
            <v>1.25</v>
          </cell>
        </row>
        <row r="1333">
          <cell r="A1333" t="str">
            <v>MULTI MADEIRAS</v>
          </cell>
          <cell r="B1333" t="str">
            <v>04/2025</v>
          </cell>
          <cell r="H1333" t="str">
            <v>REVENDA</v>
          </cell>
          <cell r="K1333">
            <v>31.1</v>
          </cell>
          <cell r="L1333">
            <v>1.24</v>
          </cell>
        </row>
        <row r="1334">
          <cell r="A1334" t="str">
            <v>MULTI MADEIRAS</v>
          </cell>
          <cell r="B1334" t="str">
            <v>09/2025</v>
          </cell>
          <cell r="H1334" t="str">
            <v>REVENDA</v>
          </cell>
          <cell r="K1334">
            <v>30.87</v>
          </cell>
          <cell r="L1334">
            <v>3.36</v>
          </cell>
        </row>
        <row r="1335">
          <cell r="A1335" t="str">
            <v>MULTI MADEIRAS</v>
          </cell>
          <cell r="B1335" t="str">
            <v>05/2025</v>
          </cell>
          <cell r="H1335" t="str">
            <v>REVENDA</v>
          </cell>
          <cell r="K1335">
            <v>30.25</v>
          </cell>
          <cell r="L1335">
            <v>3.3</v>
          </cell>
        </row>
        <row r="1336">
          <cell r="A1336" t="str">
            <v>MULTI MADEIRAS</v>
          </cell>
          <cell r="B1336" t="str">
            <v>04/2025</v>
          </cell>
          <cell r="H1336" t="str">
            <v>REVENDA</v>
          </cell>
          <cell r="K1336">
            <v>30.25</v>
          </cell>
          <cell r="L1336">
            <v>3.3</v>
          </cell>
        </row>
        <row r="1337">
          <cell r="A1337" t="str">
            <v>MULTI MADEIRAS</v>
          </cell>
          <cell r="B1337" t="str">
            <v>07/2025</v>
          </cell>
          <cell r="H1337" t="str">
            <v>REVENDA</v>
          </cell>
          <cell r="K1337">
            <v>29.03</v>
          </cell>
          <cell r="L1337">
            <v>1.1599999999999999</v>
          </cell>
        </row>
        <row r="1338">
          <cell r="A1338" t="str">
            <v>MULTI MADEIRAS</v>
          </cell>
          <cell r="B1338" t="str">
            <v>08/2025</v>
          </cell>
          <cell r="H1338" t="str">
            <v>REVENDA</v>
          </cell>
          <cell r="K1338">
            <v>28.98</v>
          </cell>
          <cell r="L1338">
            <v>3.48</v>
          </cell>
        </row>
        <row r="1339">
          <cell r="A1339" t="str">
            <v>MULTI MADEIRAS</v>
          </cell>
          <cell r="B1339" t="str">
            <v>08/2025</v>
          </cell>
          <cell r="H1339" t="str">
            <v>REVENDA</v>
          </cell>
          <cell r="K1339">
            <v>28.98</v>
          </cell>
          <cell r="L1339">
            <v>3.48</v>
          </cell>
        </row>
        <row r="1340">
          <cell r="A1340" t="str">
            <v>MULTI MADEIRAS</v>
          </cell>
          <cell r="B1340" t="str">
            <v>08/2025</v>
          </cell>
          <cell r="H1340" t="str">
            <v>REVENDA</v>
          </cell>
          <cell r="K1340">
            <v>28.98</v>
          </cell>
          <cell r="L1340">
            <v>3.48</v>
          </cell>
        </row>
        <row r="1341">
          <cell r="A1341" t="str">
            <v>MULTI MADEIRAS</v>
          </cell>
          <cell r="B1341" t="str">
            <v>08/2025</v>
          </cell>
          <cell r="H1341" t="str">
            <v>REVENDA</v>
          </cell>
          <cell r="K1341">
            <v>28.98</v>
          </cell>
          <cell r="L1341">
            <v>3.48</v>
          </cell>
        </row>
        <row r="1342">
          <cell r="A1342" t="str">
            <v>MULTI MADEIRAS</v>
          </cell>
          <cell r="B1342" t="str">
            <v>09/2025</v>
          </cell>
          <cell r="H1342" t="str">
            <v>REVENDA</v>
          </cell>
          <cell r="K1342">
            <v>28.29</v>
          </cell>
          <cell r="L1342">
            <v>3.09</v>
          </cell>
        </row>
        <row r="1343">
          <cell r="A1343" t="str">
            <v>KI ANGELIM</v>
          </cell>
          <cell r="B1343" t="str">
            <v>07/2025</v>
          </cell>
          <cell r="H1343" t="str">
            <v>REVENDA</v>
          </cell>
          <cell r="K1343">
            <v>28.25</v>
          </cell>
          <cell r="L1343">
            <v>5.64</v>
          </cell>
        </row>
        <row r="1344">
          <cell r="A1344" t="str">
            <v>MULTI MADEIRAS</v>
          </cell>
          <cell r="B1344" t="str">
            <v>09/2025</v>
          </cell>
          <cell r="H1344" t="str">
            <v>REVENDA</v>
          </cell>
          <cell r="K1344">
            <v>28.2</v>
          </cell>
          <cell r="L1344">
            <v>3.08</v>
          </cell>
        </row>
        <row r="1345">
          <cell r="A1345" t="str">
            <v>MULTI MADEIRAS</v>
          </cell>
          <cell r="B1345" t="str">
            <v>09/2025</v>
          </cell>
          <cell r="H1345" t="str">
            <v>REVENDA</v>
          </cell>
          <cell r="K1345">
            <v>28.08</v>
          </cell>
          <cell r="L1345">
            <v>3.06</v>
          </cell>
        </row>
        <row r="1346">
          <cell r="A1346" t="str">
            <v>MULTI MADEIRAS</v>
          </cell>
          <cell r="B1346" t="str">
            <v>05/2025</v>
          </cell>
          <cell r="H1346" t="str">
            <v>REVENDA</v>
          </cell>
          <cell r="K1346">
            <v>28.08</v>
          </cell>
          <cell r="L1346">
            <v>3.06</v>
          </cell>
        </row>
        <row r="1347">
          <cell r="A1347" t="str">
            <v>MULTI MADEIRAS</v>
          </cell>
          <cell r="B1347" t="str">
            <v>07/2025</v>
          </cell>
          <cell r="H1347" t="str">
            <v>REVENDA</v>
          </cell>
          <cell r="K1347">
            <v>27.52</v>
          </cell>
          <cell r="L1347">
            <v>3</v>
          </cell>
        </row>
        <row r="1348">
          <cell r="A1348" t="str">
            <v>MULTI MADEIRAS</v>
          </cell>
          <cell r="B1348" t="str">
            <v>06/2025</v>
          </cell>
          <cell r="H1348" t="str">
            <v>REVENDA</v>
          </cell>
          <cell r="K1348">
            <v>27</v>
          </cell>
          <cell r="L1348">
            <v>0</v>
          </cell>
        </row>
        <row r="1349">
          <cell r="A1349" t="str">
            <v>MULTI MADEIRAS</v>
          </cell>
          <cell r="B1349" t="str">
            <v>05/2025</v>
          </cell>
          <cell r="H1349" t="str">
            <v>REVENDA</v>
          </cell>
          <cell r="K1349">
            <v>26.19</v>
          </cell>
          <cell r="L1349">
            <v>2.85</v>
          </cell>
        </row>
        <row r="1350">
          <cell r="A1350" t="str">
            <v>MULTI MADEIRAS</v>
          </cell>
          <cell r="B1350" t="str">
            <v>09/2025</v>
          </cell>
          <cell r="H1350" t="str">
            <v>REVENDA</v>
          </cell>
          <cell r="K1350">
            <v>25.74</v>
          </cell>
          <cell r="L1350">
            <v>2.81</v>
          </cell>
        </row>
        <row r="1351">
          <cell r="A1351" t="str">
            <v>MULTI MADEIRAS</v>
          </cell>
          <cell r="B1351" t="str">
            <v>07/2025</v>
          </cell>
          <cell r="H1351" t="str">
            <v>REVENDA</v>
          </cell>
          <cell r="K1351">
            <v>25.74</v>
          </cell>
          <cell r="L1351">
            <v>2.8</v>
          </cell>
        </row>
        <row r="1352">
          <cell r="A1352" t="str">
            <v>MULTI MADEIRAS</v>
          </cell>
          <cell r="B1352" t="str">
            <v>07/2025</v>
          </cell>
          <cell r="H1352" t="str">
            <v>REVENDA</v>
          </cell>
          <cell r="K1352">
            <v>25.68</v>
          </cell>
          <cell r="L1352">
            <v>1.03</v>
          </cell>
        </row>
        <row r="1353">
          <cell r="A1353" t="str">
            <v>MULTI MADEIRAS</v>
          </cell>
          <cell r="B1353" t="str">
            <v>08/2025</v>
          </cell>
          <cell r="H1353" t="str">
            <v>REVENDA</v>
          </cell>
          <cell r="K1353">
            <v>25.43</v>
          </cell>
          <cell r="L1353">
            <v>3.06</v>
          </cell>
        </row>
        <row r="1354">
          <cell r="A1354" t="str">
            <v>MULTI MADEIRAS</v>
          </cell>
          <cell r="B1354" t="str">
            <v>08/2025</v>
          </cell>
          <cell r="H1354" t="str">
            <v>REVENDA</v>
          </cell>
          <cell r="K1354">
            <v>25.21</v>
          </cell>
          <cell r="L1354">
            <v>3.04</v>
          </cell>
        </row>
        <row r="1355">
          <cell r="A1355" t="str">
            <v>MULTI MADEIRAS</v>
          </cell>
          <cell r="B1355" t="str">
            <v>07/2025</v>
          </cell>
          <cell r="H1355" t="str">
            <v>REVENDA</v>
          </cell>
          <cell r="K1355">
            <v>25.2</v>
          </cell>
          <cell r="L1355">
            <v>3.02</v>
          </cell>
        </row>
        <row r="1356">
          <cell r="A1356" t="str">
            <v>MULTI MADEIRAS</v>
          </cell>
          <cell r="B1356" t="str">
            <v>04/2025</v>
          </cell>
          <cell r="H1356" t="str">
            <v>REVENDA</v>
          </cell>
          <cell r="K1356">
            <v>25.2</v>
          </cell>
          <cell r="L1356">
            <v>3.02</v>
          </cell>
        </row>
        <row r="1357">
          <cell r="A1357" t="str">
            <v>MULTI MADEIRAS</v>
          </cell>
          <cell r="B1357" t="str">
            <v>07/2025</v>
          </cell>
          <cell r="H1357" t="str">
            <v>REVENDA</v>
          </cell>
          <cell r="K1357">
            <v>25.05</v>
          </cell>
          <cell r="L1357">
            <v>1</v>
          </cell>
        </row>
        <row r="1358">
          <cell r="A1358" t="str">
            <v>MULTI MADEIRAS</v>
          </cell>
          <cell r="B1358" t="str">
            <v>08/2025</v>
          </cell>
          <cell r="H1358" t="str">
            <v>REVENDA</v>
          </cell>
          <cell r="K1358">
            <v>25.02</v>
          </cell>
          <cell r="L1358">
            <v>3.01</v>
          </cell>
        </row>
        <row r="1359">
          <cell r="A1359" t="str">
            <v>MULTI MADEIRAS</v>
          </cell>
          <cell r="B1359" t="str">
            <v>08/2025</v>
          </cell>
          <cell r="H1359" t="str">
            <v>REVENDA</v>
          </cell>
          <cell r="K1359">
            <v>24.36</v>
          </cell>
          <cell r="L1359">
            <v>2.93</v>
          </cell>
        </row>
        <row r="1360">
          <cell r="A1360" t="str">
            <v>MULTI MADEIRAS</v>
          </cell>
          <cell r="B1360" t="str">
            <v>08/2025</v>
          </cell>
          <cell r="H1360" t="str">
            <v>REVENDA</v>
          </cell>
          <cell r="K1360">
            <v>24.36</v>
          </cell>
          <cell r="L1360">
            <v>2.93</v>
          </cell>
        </row>
        <row r="1361">
          <cell r="A1361" t="str">
            <v>MULTI MADEIRAS</v>
          </cell>
          <cell r="B1361" t="str">
            <v>07/2025</v>
          </cell>
          <cell r="H1361" t="str">
            <v>REVENDA</v>
          </cell>
          <cell r="K1361">
            <v>24.3</v>
          </cell>
          <cell r="L1361">
            <v>0.97</v>
          </cell>
        </row>
        <row r="1362">
          <cell r="A1362" t="str">
            <v>MULTI MADEIRAS</v>
          </cell>
          <cell r="B1362" t="str">
            <v>08/2025</v>
          </cell>
          <cell r="H1362" t="str">
            <v>REVENDA</v>
          </cell>
          <cell r="K1362">
            <v>23.46</v>
          </cell>
          <cell r="L1362">
            <v>0.94</v>
          </cell>
        </row>
        <row r="1363">
          <cell r="A1363" t="str">
            <v>MULTI MADEIRAS</v>
          </cell>
          <cell r="B1363" t="str">
            <v>04/2025</v>
          </cell>
          <cell r="H1363" t="str">
            <v>REVENDA</v>
          </cell>
          <cell r="K1363">
            <v>23.42</v>
          </cell>
          <cell r="L1363">
            <v>0.94</v>
          </cell>
        </row>
        <row r="1364">
          <cell r="A1364" t="str">
            <v>MULTI MADEIRAS</v>
          </cell>
          <cell r="B1364" t="str">
            <v>07/2025</v>
          </cell>
          <cell r="H1364" t="str">
            <v>REVENDA</v>
          </cell>
          <cell r="K1364">
            <v>23.11</v>
          </cell>
          <cell r="L1364">
            <v>2.52</v>
          </cell>
        </row>
        <row r="1365">
          <cell r="A1365" t="str">
            <v>MULTI MADEIRAS</v>
          </cell>
          <cell r="B1365" t="str">
            <v>07/2025</v>
          </cell>
          <cell r="H1365" t="str">
            <v>REVENDA</v>
          </cell>
          <cell r="K1365">
            <v>22.91</v>
          </cell>
          <cell r="L1365">
            <v>2.5</v>
          </cell>
        </row>
        <row r="1366">
          <cell r="A1366" t="str">
            <v>MULTI MADEIRAS</v>
          </cell>
          <cell r="B1366" t="str">
            <v>09/2025</v>
          </cell>
          <cell r="H1366" t="str">
            <v>REVENDA</v>
          </cell>
          <cell r="K1366">
            <v>22.1</v>
          </cell>
          <cell r="L1366">
            <v>2.41</v>
          </cell>
        </row>
        <row r="1367">
          <cell r="A1367" t="str">
            <v>MULTI MADEIRAS</v>
          </cell>
          <cell r="B1367" t="str">
            <v>05/2025</v>
          </cell>
          <cell r="H1367" t="str">
            <v>REVENDA</v>
          </cell>
          <cell r="K1367">
            <v>22.02</v>
          </cell>
          <cell r="L1367">
            <v>2.4</v>
          </cell>
        </row>
        <row r="1368">
          <cell r="A1368" t="str">
            <v>MULTI MADEIRAS</v>
          </cell>
          <cell r="B1368" t="str">
            <v>05/2025</v>
          </cell>
          <cell r="H1368" t="str">
            <v>REVENDA</v>
          </cell>
          <cell r="K1368">
            <v>21.95</v>
          </cell>
          <cell r="L1368">
            <v>2.39</v>
          </cell>
        </row>
        <row r="1369">
          <cell r="A1369" t="str">
            <v>MULTI MADEIRAS</v>
          </cell>
          <cell r="B1369" t="str">
            <v>04/2025</v>
          </cell>
          <cell r="H1369" t="str">
            <v>REVENDA</v>
          </cell>
          <cell r="K1369">
            <v>21.95</v>
          </cell>
          <cell r="L1369">
            <v>2.39</v>
          </cell>
        </row>
        <row r="1370">
          <cell r="A1370" t="str">
            <v>MULTI MADEIRAS</v>
          </cell>
          <cell r="B1370" t="str">
            <v>09/2025</v>
          </cell>
          <cell r="H1370" t="str">
            <v>REVENDA</v>
          </cell>
          <cell r="K1370">
            <v>21.61</v>
          </cell>
          <cell r="L1370">
            <v>2.36</v>
          </cell>
        </row>
        <row r="1371">
          <cell r="A1371" t="str">
            <v>MULTI MADEIRAS</v>
          </cell>
          <cell r="B1371" t="str">
            <v>04/2025</v>
          </cell>
          <cell r="H1371" t="str">
            <v>REVENDA</v>
          </cell>
          <cell r="K1371">
            <v>20.18</v>
          </cell>
          <cell r="L1371">
            <v>0.81</v>
          </cell>
        </row>
        <row r="1372">
          <cell r="A1372" t="str">
            <v>MULTI MADEIRAS</v>
          </cell>
          <cell r="B1372" t="str">
            <v>08/2025</v>
          </cell>
          <cell r="H1372" t="str">
            <v>REVENDA</v>
          </cell>
          <cell r="K1372">
            <v>19.850000000000001</v>
          </cell>
          <cell r="L1372">
            <v>2.39</v>
          </cell>
        </row>
        <row r="1373">
          <cell r="A1373" t="str">
            <v>MULTI MADEIRAS</v>
          </cell>
          <cell r="B1373" t="str">
            <v>08/2025</v>
          </cell>
          <cell r="H1373" t="str">
            <v>REVENDA</v>
          </cell>
          <cell r="K1373">
            <v>19.489999999999998</v>
          </cell>
          <cell r="L1373">
            <v>2.35</v>
          </cell>
        </row>
        <row r="1374">
          <cell r="A1374" t="str">
            <v>MULTI MADEIRAS</v>
          </cell>
          <cell r="B1374" t="str">
            <v>08/2025</v>
          </cell>
          <cell r="H1374" t="str">
            <v>REVENDA</v>
          </cell>
          <cell r="K1374">
            <v>18.38</v>
          </cell>
          <cell r="L1374">
            <v>2.21</v>
          </cell>
        </row>
        <row r="1375">
          <cell r="A1375" t="str">
            <v>MULTI MADEIRAS</v>
          </cell>
          <cell r="B1375" t="str">
            <v>05/2025</v>
          </cell>
          <cell r="H1375" t="str">
            <v>REVENDA</v>
          </cell>
          <cell r="K1375">
            <v>18.36</v>
          </cell>
          <cell r="L1375">
            <v>2</v>
          </cell>
        </row>
        <row r="1376">
          <cell r="A1376" t="str">
            <v>MULTI MADEIRAS</v>
          </cell>
          <cell r="B1376" t="str">
            <v>04/2025</v>
          </cell>
          <cell r="H1376" t="str">
            <v>REVENDA</v>
          </cell>
          <cell r="K1376">
            <v>18.350000000000001</v>
          </cell>
          <cell r="L1376">
            <v>0.73</v>
          </cell>
        </row>
        <row r="1377">
          <cell r="A1377" t="str">
            <v>MULTI MADEIRAS</v>
          </cell>
          <cell r="B1377" t="str">
            <v>08/2025</v>
          </cell>
          <cell r="H1377" t="str">
            <v>REVENDA</v>
          </cell>
          <cell r="K1377">
            <v>18.14</v>
          </cell>
          <cell r="L1377">
            <v>0.73</v>
          </cell>
        </row>
        <row r="1378">
          <cell r="A1378" t="str">
            <v>MULTI MADEIRAS</v>
          </cell>
          <cell r="B1378" t="str">
            <v>07/2025</v>
          </cell>
          <cell r="H1378" t="str">
            <v>REVENDA</v>
          </cell>
          <cell r="K1378">
            <v>18</v>
          </cell>
          <cell r="L1378">
            <v>0.72</v>
          </cell>
        </row>
        <row r="1379">
          <cell r="A1379" t="str">
            <v>MULTI MADEIRAS</v>
          </cell>
          <cell r="B1379" t="str">
            <v>08/2025</v>
          </cell>
          <cell r="H1379" t="str">
            <v>REVENDA</v>
          </cell>
          <cell r="K1379">
            <v>17.95</v>
          </cell>
          <cell r="L1379">
            <v>2.15</v>
          </cell>
        </row>
        <row r="1380">
          <cell r="A1380" t="str">
            <v>MULTI MADEIRAS</v>
          </cell>
          <cell r="B1380" t="str">
            <v>08/2025</v>
          </cell>
          <cell r="H1380" t="str">
            <v>REVENDA</v>
          </cell>
          <cell r="K1380">
            <v>17.87</v>
          </cell>
          <cell r="L1380">
            <v>2.14</v>
          </cell>
        </row>
        <row r="1381">
          <cell r="A1381" t="str">
            <v>MULTI MADEIRAS</v>
          </cell>
          <cell r="B1381" t="str">
            <v>07/2025</v>
          </cell>
          <cell r="H1381" t="str">
            <v>REVENDA</v>
          </cell>
          <cell r="K1381">
            <v>17.72</v>
          </cell>
          <cell r="L1381">
            <v>0.71</v>
          </cell>
        </row>
        <row r="1382">
          <cell r="A1382" t="str">
            <v>MULTI MADEIRAS</v>
          </cell>
          <cell r="B1382" t="str">
            <v>04/2025</v>
          </cell>
          <cell r="H1382" t="str">
            <v>REVENDA</v>
          </cell>
          <cell r="K1382">
            <v>17.66</v>
          </cell>
          <cell r="L1382">
            <v>0.71</v>
          </cell>
        </row>
        <row r="1383">
          <cell r="A1383" t="str">
            <v>MULTI MADEIRAS</v>
          </cell>
          <cell r="B1383" t="str">
            <v>08/2025</v>
          </cell>
          <cell r="H1383" t="str">
            <v>REVENDA</v>
          </cell>
          <cell r="K1383">
            <v>17.57</v>
          </cell>
          <cell r="L1383">
            <v>2.11</v>
          </cell>
        </row>
        <row r="1384">
          <cell r="A1384" t="str">
            <v>MULTI MADEIRAS</v>
          </cell>
          <cell r="B1384" t="str">
            <v>07/2025</v>
          </cell>
          <cell r="H1384" t="str">
            <v>REVENDA</v>
          </cell>
          <cell r="K1384">
            <v>17.46</v>
          </cell>
          <cell r="L1384">
            <v>1.9</v>
          </cell>
        </row>
        <row r="1385">
          <cell r="A1385" t="str">
            <v>MULTI MADEIRAS</v>
          </cell>
          <cell r="B1385" t="str">
            <v>09/2025</v>
          </cell>
          <cell r="H1385" t="str">
            <v>REVENDA</v>
          </cell>
          <cell r="K1385">
            <v>17.46</v>
          </cell>
          <cell r="L1385">
            <v>1.9</v>
          </cell>
        </row>
        <row r="1386">
          <cell r="A1386" t="str">
            <v>KI ANGELIM</v>
          </cell>
          <cell r="B1386" t="str">
            <v>07/2025</v>
          </cell>
          <cell r="H1386" t="str">
            <v>REVENDA</v>
          </cell>
          <cell r="K1386">
            <v>17</v>
          </cell>
          <cell r="L1386">
            <v>0</v>
          </cell>
        </row>
        <row r="1387">
          <cell r="A1387" t="str">
            <v>MULTI MADEIRAS</v>
          </cell>
          <cell r="B1387" t="str">
            <v>07/2025</v>
          </cell>
          <cell r="H1387" t="str">
            <v>REVENDA</v>
          </cell>
          <cell r="K1387">
            <v>16.829999999999998</v>
          </cell>
          <cell r="L1387">
            <v>1.83</v>
          </cell>
        </row>
        <row r="1388">
          <cell r="A1388" t="str">
            <v>MULTI MADEIRAS</v>
          </cell>
          <cell r="B1388" t="str">
            <v>07/2025</v>
          </cell>
          <cell r="H1388" t="str">
            <v>REVENDA</v>
          </cell>
          <cell r="K1388">
            <v>16.739999999999998</v>
          </cell>
          <cell r="L1388">
            <v>1.83</v>
          </cell>
        </row>
        <row r="1389">
          <cell r="A1389" t="str">
            <v>MULTI MADEIRAS</v>
          </cell>
          <cell r="B1389" t="str">
            <v>07/2025</v>
          </cell>
          <cell r="H1389" t="str">
            <v>REVENDA</v>
          </cell>
          <cell r="K1389">
            <v>16.47</v>
          </cell>
          <cell r="L1389">
            <v>1.8</v>
          </cell>
        </row>
        <row r="1390">
          <cell r="A1390" t="str">
            <v>MULTI MADEIRAS</v>
          </cell>
          <cell r="B1390" t="str">
            <v>04/2025</v>
          </cell>
          <cell r="H1390" t="str">
            <v>REVENDA</v>
          </cell>
          <cell r="K1390">
            <v>16.32</v>
          </cell>
          <cell r="L1390">
            <v>0.65</v>
          </cell>
        </row>
        <row r="1391">
          <cell r="A1391" t="str">
            <v>MULTI MADEIRAS</v>
          </cell>
          <cell r="B1391" t="str">
            <v>07/2025</v>
          </cell>
          <cell r="H1391" t="str">
            <v>REVENDA</v>
          </cell>
          <cell r="K1391">
            <v>16.2</v>
          </cell>
          <cell r="L1391">
            <v>0.65</v>
          </cell>
        </row>
        <row r="1392">
          <cell r="A1392" t="str">
            <v>MULTI MADEIRAS</v>
          </cell>
          <cell r="B1392" t="str">
            <v>07/2025</v>
          </cell>
          <cell r="H1392" t="str">
            <v>REVENDA</v>
          </cell>
          <cell r="K1392">
            <v>14.99</v>
          </cell>
          <cell r="L1392">
            <v>0.6</v>
          </cell>
        </row>
        <row r="1393">
          <cell r="A1393" t="str">
            <v>MULTI MADEIRAS</v>
          </cell>
          <cell r="B1393" t="str">
            <v>04/2025</v>
          </cell>
          <cell r="H1393" t="str">
            <v>REVENDA</v>
          </cell>
          <cell r="K1393">
            <v>14.25</v>
          </cell>
          <cell r="L1393">
            <v>0</v>
          </cell>
        </row>
        <row r="1394">
          <cell r="A1394" t="str">
            <v>MULTI MADEIRAS</v>
          </cell>
          <cell r="B1394" t="str">
            <v>04/2025</v>
          </cell>
          <cell r="H1394" t="str">
            <v>REVENDA</v>
          </cell>
          <cell r="K1394">
            <v>14.25</v>
          </cell>
          <cell r="L1394">
            <v>0</v>
          </cell>
        </row>
        <row r="1395">
          <cell r="A1395" t="str">
            <v>MULTI MADEIRAS</v>
          </cell>
          <cell r="B1395" t="str">
            <v>04/2025</v>
          </cell>
          <cell r="H1395" t="str">
            <v>REVENDA</v>
          </cell>
          <cell r="K1395">
            <v>14.25</v>
          </cell>
          <cell r="L1395">
            <v>0</v>
          </cell>
        </row>
        <row r="1396">
          <cell r="A1396" t="str">
            <v>MULTI MADEIRAS</v>
          </cell>
          <cell r="B1396" t="str">
            <v>08/2025</v>
          </cell>
          <cell r="H1396" t="str">
            <v>REVENDA</v>
          </cell>
          <cell r="K1396">
            <v>14.24</v>
          </cell>
          <cell r="L1396">
            <v>0.56999999999999995</v>
          </cell>
        </row>
        <row r="1397">
          <cell r="A1397" t="str">
            <v>MULTI MADEIRAS</v>
          </cell>
          <cell r="B1397" t="str">
            <v>07/2025</v>
          </cell>
          <cell r="H1397" t="str">
            <v>REVENDA</v>
          </cell>
          <cell r="K1397">
            <v>13.61</v>
          </cell>
          <cell r="L1397">
            <v>0.54</v>
          </cell>
        </row>
        <row r="1398">
          <cell r="A1398" t="str">
            <v>MULTI MADEIRAS</v>
          </cell>
          <cell r="B1398" t="str">
            <v>07/2025</v>
          </cell>
          <cell r="H1398" t="str">
            <v>REVENDA</v>
          </cell>
          <cell r="K1398">
            <v>13.46</v>
          </cell>
          <cell r="L1398">
            <v>1.47</v>
          </cell>
        </row>
        <row r="1399">
          <cell r="A1399" t="str">
            <v>MULTI MADEIRAS</v>
          </cell>
          <cell r="B1399" t="str">
            <v>05/2025</v>
          </cell>
          <cell r="H1399" t="str">
            <v>REVENDA</v>
          </cell>
          <cell r="K1399">
            <v>13.46</v>
          </cell>
          <cell r="L1399">
            <v>1.47</v>
          </cell>
        </row>
        <row r="1400">
          <cell r="A1400" t="str">
            <v>MULTI MADEIRAS</v>
          </cell>
          <cell r="B1400" t="str">
            <v>07/2025</v>
          </cell>
          <cell r="H1400" t="str">
            <v>REVENDA</v>
          </cell>
          <cell r="K1400">
            <v>13.07</v>
          </cell>
          <cell r="L1400">
            <v>0.52</v>
          </cell>
        </row>
        <row r="1401">
          <cell r="A1401" t="str">
            <v>MULTI MADEIRAS</v>
          </cell>
          <cell r="B1401" t="str">
            <v>09/2025</v>
          </cell>
          <cell r="H1401" t="str">
            <v>REVENDA</v>
          </cell>
          <cell r="K1401">
            <v>12.89</v>
          </cell>
          <cell r="L1401">
            <v>1.41</v>
          </cell>
        </row>
        <row r="1402">
          <cell r="A1402" t="str">
            <v>KI ANGELIM</v>
          </cell>
          <cell r="B1402" t="str">
            <v>07/2025</v>
          </cell>
          <cell r="H1402" t="str">
            <v>REVENDA</v>
          </cell>
          <cell r="K1402">
            <v>12.41</v>
          </cell>
          <cell r="L1402">
            <v>0</v>
          </cell>
        </row>
        <row r="1403">
          <cell r="A1403" t="str">
            <v>MULTI MADEIRAS</v>
          </cell>
          <cell r="B1403" t="str">
            <v>07/2025</v>
          </cell>
          <cell r="H1403" t="str">
            <v>REVENDA</v>
          </cell>
          <cell r="K1403">
            <v>11.88</v>
          </cell>
          <cell r="L1403">
            <v>1.31</v>
          </cell>
        </row>
        <row r="1404">
          <cell r="A1404" t="str">
            <v>MULTI MADEIRAS</v>
          </cell>
          <cell r="B1404" t="str">
            <v>08/2025</v>
          </cell>
          <cell r="H1404" t="str">
            <v>REVENDA</v>
          </cell>
          <cell r="K1404">
            <v>11.85</v>
          </cell>
          <cell r="L1404">
            <v>1.42</v>
          </cell>
        </row>
        <row r="1405">
          <cell r="A1405" t="str">
            <v>MULTI MADEIRAS</v>
          </cell>
          <cell r="B1405" t="str">
            <v>07/2025</v>
          </cell>
          <cell r="H1405" t="str">
            <v>REVENDA</v>
          </cell>
          <cell r="K1405">
            <v>10.8</v>
          </cell>
          <cell r="L1405">
            <v>0.43</v>
          </cell>
        </row>
        <row r="1406">
          <cell r="A1406" t="str">
            <v>KI ANGELIM</v>
          </cell>
          <cell r="B1406" t="str">
            <v>07/2025</v>
          </cell>
          <cell r="H1406" t="str">
            <v>REVENDA</v>
          </cell>
          <cell r="K1406">
            <v>10.77</v>
          </cell>
          <cell r="L1406">
            <v>0</v>
          </cell>
        </row>
        <row r="1407">
          <cell r="A1407" t="str">
            <v>MULTI MADEIRAS</v>
          </cell>
          <cell r="B1407" t="str">
            <v>08/2025</v>
          </cell>
          <cell r="H1407" t="str">
            <v>REVENDA</v>
          </cell>
          <cell r="K1407">
            <v>10.23</v>
          </cell>
          <cell r="L1407">
            <v>0.41</v>
          </cell>
        </row>
        <row r="1408">
          <cell r="A1408" t="str">
            <v>MULTI MADEIRAS</v>
          </cell>
          <cell r="B1408" t="str">
            <v>08/2025</v>
          </cell>
          <cell r="H1408" t="str">
            <v>REVENDA</v>
          </cell>
          <cell r="K1408">
            <v>10.23</v>
          </cell>
          <cell r="L1408">
            <v>0.41</v>
          </cell>
        </row>
        <row r="1409">
          <cell r="A1409" t="str">
            <v>KI ANGELIM</v>
          </cell>
          <cell r="B1409" t="str">
            <v>07/2025</v>
          </cell>
          <cell r="H1409" t="str">
            <v>REVENDA</v>
          </cell>
          <cell r="K1409">
            <v>9.6</v>
          </cell>
          <cell r="L1409">
            <v>0</v>
          </cell>
        </row>
        <row r="1410">
          <cell r="A1410" t="str">
            <v>MULTI MADEIRAS</v>
          </cell>
          <cell r="B1410" t="str">
            <v>04/2025</v>
          </cell>
          <cell r="H1410" t="str">
            <v>REVENDA</v>
          </cell>
          <cell r="K1410">
            <v>9.5</v>
          </cell>
          <cell r="L1410">
            <v>0</v>
          </cell>
        </row>
        <row r="1411">
          <cell r="A1411" t="str">
            <v>MULTI MADEIRAS</v>
          </cell>
          <cell r="B1411" t="str">
            <v>04/2025</v>
          </cell>
          <cell r="H1411" t="str">
            <v>REVENDA</v>
          </cell>
          <cell r="K1411">
            <v>9.5</v>
          </cell>
          <cell r="L1411">
            <v>0</v>
          </cell>
        </row>
        <row r="1412">
          <cell r="A1412" t="str">
            <v>MULTI MADEIRAS</v>
          </cell>
          <cell r="B1412" t="str">
            <v>04/2025</v>
          </cell>
          <cell r="H1412" t="str">
            <v>REVENDA</v>
          </cell>
          <cell r="K1412">
            <v>9.5</v>
          </cell>
          <cell r="L1412">
            <v>0</v>
          </cell>
        </row>
        <row r="1413">
          <cell r="A1413" t="str">
            <v>MULTI MADEIRAS</v>
          </cell>
          <cell r="B1413" t="str">
            <v>04/2025</v>
          </cell>
          <cell r="H1413" t="str">
            <v>REVENDA</v>
          </cell>
          <cell r="K1413">
            <v>9.5</v>
          </cell>
          <cell r="L1413">
            <v>0</v>
          </cell>
        </row>
        <row r="1414">
          <cell r="A1414" t="str">
            <v>MULTI MADEIRAS</v>
          </cell>
          <cell r="B1414" t="str">
            <v>04/2025</v>
          </cell>
          <cell r="H1414" t="str">
            <v>REVENDA</v>
          </cell>
          <cell r="K1414">
            <v>9.5</v>
          </cell>
          <cell r="L1414">
            <v>0</v>
          </cell>
        </row>
        <row r="1415">
          <cell r="A1415" t="str">
            <v>MULTI MADEIRAS</v>
          </cell>
          <cell r="B1415" t="str">
            <v>04/2025</v>
          </cell>
          <cell r="H1415" t="str">
            <v>REVENDA</v>
          </cell>
          <cell r="K1415">
            <v>9.5</v>
          </cell>
          <cell r="L1415">
            <v>0</v>
          </cell>
        </row>
        <row r="1416">
          <cell r="A1416" t="str">
            <v>MULTI MADEIRAS</v>
          </cell>
          <cell r="B1416" t="str">
            <v>04/2025</v>
          </cell>
          <cell r="H1416" t="str">
            <v>REVENDA</v>
          </cell>
          <cell r="K1416">
            <v>9.5</v>
          </cell>
          <cell r="L1416">
            <v>0</v>
          </cell>
        </row>
        <row r="1417">
          <cell r="A1417" t="str">
            <v>MULTI MADEIRAS</v>
          </cell>
          <cell r="B1417" t="str">
            <v>04/2025</v>
          </cell>
          <cell r="H1417" t="str">
            <v>REVENDA</v>
          </cell>
          <cell r="K1417">
            <v>9.5</v>
          </cell>
          <cell r="L1417">
            <v>0</v>
          </cell>
        </row>
        <row r="1418">
          <cell r="A1418" t="str">
            <v>MULTI MADEIRAS</v>
          </cell>
          <cell r="B1418" t="str">
            <v>04/2025</v>
          </cell>
          <cell r="H1418" t="str">
            <v>REVENDA</v>
          </cell>
          <cell r="K1418">
            <v>9.5</v>
          </cell>
          <cell r="L1418">
            <v>0</v>
          </cell>
        </row>
        <row r="1419">
          <cell r="A1419" t="str">
            <v>MULTI MADEIRAS</v>
          </cell>
          <cell r="B1419" t="str">
            <v>04/2025</v>
          </cell>
          <cell r="H1419" t="str">
            <v>REVENDA</v>
          </cell>
          <cell r="K1419">
            <v>9.5</v>
          </cell>
          <cell r="L1419">
            <v>0</v>
          </cell>
        </row>
        <row r="1420">
          <cell r="A1420" t="str">
            <v>MULTI MADEIRAS</v>
          </cell>
          <cell r="B1420" t="str">
            <v>04/2025</v>
          </cell>
          <cell r="H1420" t="str">
            <v>REVENDA</v>
          </cell>
          <cell r="K1420">
            <v>9.5</v>
          </cell>
          <cell r="L1420">
            <v>0</v>
          </cell>
        </row>
        <row r="1421">
          <cell r="A1421" t="str">
            <v>MULTI MADEIRAS</v>
          </cell>
          <cell r="B1421" t="str">
            <v>04/2025</v>
          </cell>
          <cell r="H1421" t="str">
            <v>REVENDA</v>
          </cell>
          <cell r="K1421">
            <v>9.5</v>
          </cell>
          <cell r="L1421">
            <v>0</v>
          </cell>
        </row>
        <row r="1422">
          <cell r="A1422" t="str">
            <v>MULTI MADEIRAS</v>
          </cell>
          <cell r="B1422" t="str">
            <v>04/2025</v>
          </cell>
          <cell r="H1422" t="str">
            <v>REVENDA</v>
          </cell>
          <cell r="K1422">
            <v>9.5</v>
          </cell>
          <cell r="L1422">
            <v>0</v>
          </cell>
        </row>
        <row r="1423">
          <cell r="A1423" t="str">
            <v>MULTI MADEIRAS</v>
          </cell>
          <cell r="B1423" t="str">
            <v>04/2025</v>
          </cell>
          <cell r="H1423" t="str">
            <v>REVENDA</v>
          </cell>
          <cell r="K1423">
            <v>9.5</v>
          </cell>
          <cell r="L1423">
            <v>0</v>
          </cell>
        </row>
        <row r="1424">
          <cell r="A1424" t="str">
            <v>MULTI MADEIRAS</v>
          </cell>
          <cell r="B1424" t="str">
            <v>04/2025</v>
          </cell>
          <cell r="H1424" t="str">
            <v>REVENDA</v>
          </cell>
          <cell r="K1424">
            <v>9.5</v>
          </cell>
          <cell r="L1424">
            <v>0</v>
          </cell>
        </row>
        <row r="1425">
          <cell r="A1425" t="str">
            <v>MULTI MADEIRAS</v>
          </cell>
          <cell r="B1425" t="str">
            <v>04/2025</v>
          </cell>
          <cell r="H1425" t="str">
            <v>REVENDA</v>
          </cell>
          <cell r="K1425">
            <v>9.1199999999999992</v>
          </cell>
          <cell r="L1425">
            <v>0.36</v>
          </cell>
        </row>
        <row r="1426">
          <cell r="A1426" t="str">
            <v>MULTI MADEIRAS</v>
          </cell>
          <cell r="B1426" t="str">
            <v>07/2025</v>
          </cell>
          <cell r="H1426" t="str">
            <v>REVENDA</v>
          </cell>
          <cell r="K1426">
            <v>8.1</v>
          </cell>
          <cell r="L1426">
            <v>0.32</v>
          </cell>
        </row>
        <row r="1427">
          <cell r="A1427" t="str">
            <v>MULTI MADEIRAS</v>
          </cell>
          <cell r="B1427" t="str">
            <v>07/2025</v>
          </cell>
          <cell r="H1427" t="str">
            <v>REVENDA</v>
          </cell>
          <cell r="K1427">
            <v>8.02</v>
          </cell>
          <cell r="L1427">
            <v>0.32</v>
          </cell>
        </row>
        <row r="1428">
          <cell r="A1428" t="str">
            <v>MULTI MADEIRAS</v>
          </cell>
          <cell r="B1428" t="str">
            <v>07/2025</v>
          </cell>
          <cell r="H1428" t="str">
            <v>REVENDA</v>
          </cell>
          <cell r="K1428">
            <v>7.89</v>
          </cell>
          <cell r="L1428">
            <v>0.32</v>
          </cell>
        </row>
        <row r="1429">
          <cell r="A1429" t="str">
            <v>MULTI MADEIRAS</v>
          </cell>
          <cell r="B1429" t="str">
            <v>07/2025</v>
          </cell>
          <cell r="H1429" t="str">
            <v>REVENDA</v>
          </cell>
          <cell r="K1429">
            <v>7.45</v>
          </cell>
          <cell r="L1429">
            <v>0.3</v>
          </cell>
        </row>
        <row r="1430">
          <cell r="A1430" t="str">
            <v>MULTI MADEIRAS</v>
          </cell>
          <cell r="B1430" t="str">
            <v>07/2025</v>
          </cell>
          <cell r="H1430" t="str">
            <v>REVENDA</v>
          </cell>
          <cell r="K1430">
            <v>7.15</v>
          </cell>
          <cell r="L1430">
            <v>0.28999999999999998</v>
          </cell>
        </row>
        <row r="1431">
          <cell r="A1431" t="str">
            <v>KI ANGELIM</v>
          </cell>
          <cell r="B1431" t="str">
            <v>07/2025</v>
          </cell>
          <cell r="H1431" t="str">
            <v>REVENDA</v>
          </cell>
          <cell r="K1431">
            <v>5.29</v>
          </cell>
          <cell r="L1431">
            <v>0</v>
          </cell>
        </row>
        <row r="1432">
          <cell r="A1432" t="str">
            <v>MULTI MADEIRAS</v>
          </cell>
          <cell r="B1432" t="str">
            <v>04/2025</v>
          </cell>
          <cell r="H1432" t="str">
            <v>REVENDA</v>
          </cell>
          <cell r="K1432">
            <v>5.15</v>
          </cell>
          <cell r="L1432">
            <v>0.62</v>
          </cell>
        </row>
        <row r="1433">
          <cell r="A1433" t="str">
            <v>MULTI MADEIRAS</v>
          </cell>
          <cell r="B1433" t="str">
            <v>04/2025</v>
          </cell>
          <cell r="H1433" t="str">
            <v>REVENDA</v>
          </cell>
          <cell r="K1433">
            <v>4.8</v>
          </cell>
          <cell r="L1433">
            <v>0.57999999999999996</v>
          </cell>
        </row>
        <row r="1434">
          <cell r="A1434" t="str">
            <v>KI ANGELIM</v>
          </cell>
          <cell r="B1434" t="str">
            <v>07/2025</v>
          </cell>
          <cell r="H1434" t="str">
            <v>REVENDA</v>
          </cell>
          <cell r="K1434">
            <v>2.14</v>
          </cell>
          <cell r="L1434">
            <v>0</v>
          </cell>
        </row>
        <row r="1435">
          <cell r="A1435" t="str">
            <v>KI ANGELIM</v>
          </cell>
          <cell r="B1435" t="str">
            <v>07/2025</v>
          </cell>
          <cell r="H1435" t="str">
            <v>REVENDA</v>
          </cell>
          <cell r="K1435">
            <v>2.0299999999999998</v>
          </cell>
          <cell r="L1435">
            <v>0</v>
          </cell>
        </row>
        <row r="1436">
          <cell r="A1436" t="str">
            <v>MULTI MADEIRAS</v>
          </cell>
          <cell r="B1436" t="str">
            <v>05/2025</v>
          </cell>
          <cell r="H1436" t="str">
            <v>REVENDA</v>
          </cell>
          <cell r="K1436">
            <v>1</v>
          </cell>
          <cell r="L1436">
            <v>0.12</v>
          </cell>
        </row>
        <row r="1437">
          <cell r="A1437" t="str">
            <v>KI ANGELIM</v>
          </cell>
          <cell r="B1437" t="str">
            <v>07/2025</v>
          </cell>
          <cell r="H1437" t="str">
            <v>REVENDA</v>
          </cell>
          <cell r="K1437">
            <v>0.12</v>
          </cell>
          <cell r="L1437">
            <v>0</v>
          </cell>
        </row>
        <row r="1438">
          <cell r="A1438" t="str">
            <v>KI ANGELIM</v>
          </cell>
          <cell r="B1438" t="str">
            <v>07/2025</v>
          </cell>
          <cell r="H1438" t="str">
            <v>REVENDA</v>
          </cell>
          <cell r="K1438">
            <v>0.12</v>
          </cell>
          <cell r="L1438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sas"/>
      <sheetName val="Matriz_ICMS"/>
      <sheetName val="Filial_LP"/>
      <sheetName val="Federal_Consolidado"/>
      <sheetName val="Dashboard"/>
      <sheetName val="Notas"/>
    </sheetNames>
    <sheetDataSet>
      <sheetData sheetId="0">
        <row r="3">
          <cell r="B3">
            <v>200000</v>
          </cell>
        </row>
        <row r="7">
          <cell r="B7">
            <v>200000</v>
          </cell>
          <cell r="E7">
            <v>1264.8785066666665</v>
          </cell>
        </row>
        <row r="8">
          <cell r="B8">
            <v>250000</v>
          </cell>
        </row>
        <row r="9">
          <cell r="B9">
            <v>300000</v>
          </cell>
          <cell r="E9">
            <v>5837.9007999999994</v>
          </cell>
        </row>
        <row r="10">
          <cell r="B10">
            <v>0.15</v>
          </cell>
        </row>
        <row r="11">
          <cell r="B11">
            <v>280000</v>
          </cell>
        </row>
        <row r="12">
          <cell r="B12">
            <v>0.03</v>
          </cell>
        </row>
        <row r="13">
          <cell r="B13">
            <v>6.4999999999999997E-3</v>
          </cell>
        </row>
        <row r="14">
          <cell r="B14">
            <v>0.03</v>
          </cell>
        </row>
        <row r="15">
          <cell r="B15">
            <v>3.2500000000000001E-2</v>
          </cell>
        </row>
        <row r="16">
          <cell r="B16">
            <v>0.08</v>
          </cell>
        </row>
        <row r="17">
          <cell r="B17">
            <v>0.12</v>
          </cell>
        </row>
        <row r="18">
          <cell r="B18">
            <v>0.15</v>
          </cell>
        </row>
        <row r="19">
          <cell r="B19">
            <v>0.1</v>
          </cell>
        </row>
        <row r="20">
          <cell r="B20">
            <v>20000</v>
          </cell>
        </row>
        <row r="21">
          <cell r="B21">
            <v>0.09</v>
          </cell>
        </row>
      </sheetData>
      <sheetData sheetId="1">
        <row r="9">
          <cell r="B9">
            <v>1123.2255310441469</v>
          </cell>
        </row>
      </sheetData>
      <sheetData sheetId="2">
        <row r="5">
          <cell r="B5">
            <v>30000</v>
          </cell>
          <cell r="C5">
            <v>37500</v>
          </cell>
          <cell r="D5">
            <v>45000</v>
          </cell>
        </row>
        <row r="7">
          <cell r="B7">
            <v>6000</v>
          </cell>
          <cell r="C7">
            <v>7500</v>
          </cell>
          <cell r="D7">
            <v>9000</v>
          </cell>
        </row>
        <row r="10">
          <cell r="B10">
            <v>6500</v>
          </cell>
          <cell r="C10">
            <v>8125</v>
          </cell>
          <cell r="D10">
            <v>9750</v>
          </cell>
        </row>
      </sheetData>
      <sheetData sheetId="3">
        <row r="4">
          <cell r="B4">
            <v>400000</v>
          </cell>
          <cell r="C4">
            <v>450000</v>
          </cell>
          <cell r="D4">
            <v>500000</v>
          </cell>
        </row>
        <row r="16">
          <cell r="B16">
            <v>24317.220693333336</v>
          </cell>
          <cell r="C16">
            <v>29307.220693333336</v>
          </cell>
          <cell r="D16">
            <v>34297.220693333336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7"/>
  <sheetViews>
    <sheetView tabSelected="1" topLeftCell="B1" zoomScaleNormal="100" workbookViewId="0">
      <selection activeCell="N11" sqref="N11"/>
    </sheetView>
  </sheetViews>
  <sheetFormatPr defaultColWidth="9.5703125" defaultRowHeight="20.100000000000001" customHeight="1" x14ac:dyDescent="0.25"/>
  <cols>
    <col min="1" max="1" width="16.7109375" bestFit="1" customWidth="1"/>
    <col min="2" max="2" width="31.7109375" bestFit="1" customWidth="1"/>
    <col min="3" max="4" width="12.7109375" bestFit="1" customWidth="1"/>
    <col min="5" max="6" width="11.7109375" bestFit="1" customWidth="1"/>
    <col min="7" max="8" width="12.7109375" bestFit="1" customWidth="1"/>
    <col min="9" max="9" width="14.42578125" bestFit="1" customWidth="1"/>
    <col min="10" max="10" width="27" bestFit="1" customWidth="1"/>
    <col min="11" max="11" width="16.7109375" bestFit="1" customWidth="1"/>
    <col min="12" max="12" width="31.7109375" bestFit="1" customWidth="1"/>
    <col min="13" max="13" width="17.7109375" bestFit="1" customWidth="1"/>
    <col min="14" max="14" width="17.85546875" bestFit="1" customWidth="1"/>
    <col min="15" max="15" width="12.7109375" bestFit="1" customWidth="1"/>
    <col min="16" max="16" width="21.7109375" bestFit="1" customWidth="1"/>
  </cols>
  <sheetData>
    <row r="1" spans="1:12" ht="20.100000000000001" customHeight="1" x14ac:dyDescent="0.25">
      <c r="A1" s="8" t="s">
        <v>0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1</v>
      </c>
      <c r="I1" s="8" t="s">
        <v>26</v>
      </c>
      <c r="J1" s="8" t="s">
        <v>27</v>
      </c>
      <c r="K1" s="8" t="s">
        <v>28</v>
      </c>
      <c r="L1" s="8" t="s">
        <v>17</v>
      </c>
    </row>
    <row r="2" spans="1:12" ht="20.100000000000001" customHeight="1" x14ac:dyDescent="0.25">
      <c r="A2" s="2" t="s">
        <v>15</v>
      </c>
      <c r="B2" s="2" t="s">
        <v>6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10</v>
      </c>
      <c r="I2" s="2" t="s">
        <v>34</v>
      </c>
      <c r="J2" s="2" t="s">
        <v>35</v>
      </c>
      <c r="K2" s="3">
        <v>13848.38</v>
      </c>
      <c r="L2" s="3">
        <v>0</v>
      </c>
    </row>
    <row r="3" spans="1:12" ht="20.100000000000001" customHeight="1" x14ac:dyDescent="0.25">
      <c r="A3" s="2" t="s">
        <v>9</v>
      </c>
      <c r="B3" s="2" t="s">
        <v>3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10</v>
      </c>
      <c r="I3" s="2" t="s">
        <v>34</v>
      </c>
      <c r="J3" s="2" t="s">
        <v>41</v>
      </c>
      <c r="K3" s="3">
        <v>13097.7</v>
      </c>
      <c r="L3" s="3">
        <v>1571.72</v>
      </c>
    </row>
    <row r="4" spans="1:12" ht="20.100000000000001" customHeight="1" x14ac:dyDescent="0.25">
      <c r="A4" s="2" t="s">
        <v>15</v>
      </c>
      <c r="B4" s="2" t="s">
        <v>6</v>
      </c>
      <c r="C4" s="2" t="s">
        <v>42</v>
      </c>
      <c r="D4" s="2" t="s">
        <v>30</v>
      </c>
      <c r="E4" s="2" t="s">
        <v>43</v>
      </c>
      <c r="F4" s="2" t="s">
        <v>44</v>
      </c>
      <c r="G4" s="2" t="s">
        <v>45</v>
      </c>
      <c r="H4" s="2" t="s">
        <v>10</v>
      </c>
      <c r="I4" s="2" t="s">
        <v>34</v>
      </c>
      <c r="J4" s="2" t="s">
        <v>46</v>
      </c>
      <c r="K4" s="3">
        <v>7777.5</v>
      </c>
      <c r="L4" s="3">
        <v>933.3</v>
      </c>
    </row>
    <row r="5" spans="1:12" ht="20.100000000000001" customHeight="1" x14ac:dyDescent="0.25">
      <c r="A5" s="2" t="s">
        <v>15</v>
      </c>
      <c r="B5" s="2" t="s">
        <v>2</v>
      </c>
      <c r="C5" s="2" t="s">
        <v>47</v>
      </c>
      <c r="D5" s="2" t="s">
        <v>37</v>
      </c>
      <c r="E5" s="2" t="s">
        <v>48</v>
      </c>
      <c r="F5" s="2" t="s">
        <v>49</v>
      </c>
      <c r="G5" s="2" t="s">
        <v>50</v>
      </c>
      <c r="H5" s="2" t="s">
        <v>10</v>
      </c>
      <c r="I5" s="2" t="s">
        <v>34</v>
      </c>
      <c r="J5" s="2" t="s">
        <v>51</v>
      </c>
      <c r="K5" s="3">
        <v>6800.4</v>
      </c>
      <c r="L5" s="3">
        <v>1360.08</v>
      </c>
    </row>
    <row r="6" spans="1:12" ht="20.100000000000001" customHeight="1" x14ac:dyDescent="0.25">
      <c r="A6" s="2" t="s">
        <v>9</v>
      </c>
      <c r="B6" s="2" t="s">
        <v>3</v>
      </c>
      <c r="C6" s="2" t="s">
        <v>36</v>
      </c>
      <c r="D6" s="2" t="s">
        <v>37</v>
      </c>
      <c r="E6" s="2" t="s">
        <v>52</v>
      </c>
      <c r="F6" s="2" t="s">
        <v>39</v>
      </c>
      <c r="G6" s="2" t="s">
        <v>40</v>
      </c>
      <c r="H6" s="2" t="s">
        <v>10</v>
      </c>
      <c r="I6" s="2" t="s">
        <v>34</v>
      </c>
      <c r="J6" s="2" t="s">
        <v>41</v>
      </c>
      <c r="K6" s="3">
        <v>5950.56</v>
      </c>
      <c r="L6" s="3">
        <v>714.07</v>
      </c>
    </row>
    <row r="7" spans="1:12" ht="20.100000000000001" customHeight="1" x14ac:dyDescent="0.25">
      <c r="A7" s="2" t="s">
        <v>15</v>
      </c>
      <c r="B7" s="2" t="s">
        <v>6</v>
      </c>
      <c r="C7" s="2" t="s">
        <v>42</v>
      </c>
      <c r="D7" s="2" t="s">
        <v>30</v>
      </c>
      <c r="E7" s="2" t="s">
        <v>53</v>
      </c>
      <c r="F7" s="2" t="s">
        <v>44</v>
      </c>
      <c r="G7" s="2" t="s">
        <v>45</v>
      </c>
      <c r="H7" s="2" t="s">
        <v>10</v>
      </c>
      <c r="I7" s="2" t="s">
        <v>34</v>
      </c>
      <c r="J7" s="2" t="s">
        <v>46</v>
      </c>
      <c r="K7" s="3">
        <v>5415.25</v>
      </c>
      <c r="L7" s="3">
        <v>617.34</v>
      </c>
    </row>
    <row r="8" spans="1:12" ht="20.100000000000001" customHeight="1" x14ac:dyDescent="0.25">
      <c r="A8" s="2" t="s">
        <v>15</v>
      </c>
      <c r="B8" s="2" t="s">
        <v>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45</v>
      </c>
      <c r="H8" s="2" t="s">
        <v>10</v>
      </c>
      <c r="I8" s="2" t="s">
        <v>34</v>
      </c>
      <c r="J8" s="2" t="s">
        <v>58</v>
      </c>
      <c r="K8" s="3">
        <v>4845</v>
      </c>
      <c r="L8" s="3">
        <v>193.8</v>
      </c>
    </row>
    <row r="9" spans="1:12" ht="20.100000000000001" customHeight="1" x14ac:dyDescent="0.25">
      <c r="A9" s="2" t="s">
        <v>15</v>
      </c>
      <c r="B9" s="2" t="s">
        <v>5</v>
      </c>
      <c r="C9" s="2" t="s">
        <v>59</v>
      </c>
      <c r="D9" s="2" t="s">
        <v>37</v>
      </c>
      <c r="E9" s="2" t="s">
        <v>60</v>
      </c>
      <c r="F9" s="2" t="s">
        <v>61</v>
      </c>
      <c r="G9" s="2" t="s">
        <v>50</v>
      </c>
      <c r="H9" s="2" t="s">
        <v>10</v>
      </c>
      <c r="I9" s="2" t="s">
        <v>34</v>
      </c>
      <c r="J9" s="2" t="s">
        <v>41</v>
      </c>
      <c r="K9" s="3">
        <v>4641.3</v>
      </c>
      <c r="L9" s="3">
        <v>928.26</v>
      </c>
    </row>
    <row r="10" spans="1:12" ht="20.100000000000001" customHeight="1" x14ac:dyDescent="0.25">
      <c r="A10" s="2" t="s">
        <v>15</v>
      </c>
      <c r="B10" s="2" t="s">
        <v>2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45</v>
      </c>
      <c r="H10" s="2" t="s">
        <v>10</v>
      </c>
      <c r="I10" s="2" t="s">
        <v>34</v>
      </c>
      <c r="J10" s="2" t="s">
        <v>41</v>
      </c>
      <c r="K10" s="3">
        <v>4530.05</v>
      </c>
      <c r="L10" s="3">
        <v>543.61</v>
      </c>
    </row>
    <row r="11" spans="1:12" ht="20.100000000000001" customHeight="1" x14ac:dyDescent="0.25">
      <c r="A11" s="2" t="s">
        <v>15</v>
      </c>
      <c r="B11" s="2" t="s">
        <v>2</v>
      </c>
      <c r="C11" s="2" t="s">
        <v>66</v>
      </c>
      <c r="D11" s="2" t="s">
        <v>63</v>
      </c>
      <c r="E11" s="2" t="s">
        <v>67</v>
      </c>
      <c r="F11" s="2" t="s">
        <v>65</v>
      </c>
      <c r="G11" s="2" t="s">
        <v>45</v>
      </c>
      <c r="H11" s="2" t="s">
        <v>10</v>
      </c>
      <c r="I11" s="2" t="s">
        <v>34</v>
      </c>
      <c r="J11" s="2" t="s">
        <v>41</v>
      </c>
      <c r="K11" s="3">
        <v>4032</v>
      </c>
      <c r="L11" s="3">
        <v>483.84</v>
      </c>
    </row>
    <row r="12" spans="1:12" ht="20.100000000000001" customHeight="1" x14ac:dyDescent="0.25">
      <c r="A12" s="2" t="s">
        <v>15</v>
      </c>
      <c r="B12" s="2" t="s">
        <v>5</v>
      </c>
      <c r="C12" s="2" t="s">
        <v>59</v>
      </c>
      <c r="D12" s="2" t="s">
        <v>37</v>
      </c>
      <c r="E12" s="2" t="s">
        <v>60</v>
      </c>
      <c r="F12" s="2" t="s">
        <v>61</v>
      </c>
      <c r="G12" s="2" t="s">
        <v>50</v>
      </c>
      <c r="H12" s="2" t="s">
        <v>10</v>
      </c>
      <c r="I12" s="2" t="s">
        <v>34</v>
      </c>
      <c r="J12" s="2" t="s">
        <v>41</v>
      </c>
      <c r="K12" s="3">
        <v>3087.9</v>
      </c>
      <c r="L12" s="3">
        <v>617.58000000000004</v>
      </c>
    </row>
    <row r="13" spans="1:12" ht="20.100000000000001" customHeight="1" x14ac:dyDescent="0.25">
      <c r="A13" s="2" t="s">
        <v>15</v>
      </c>
      <c r="B13" s="2" t="s">
        <v>2</v>
      </c>
      <c r="C13" s="2" t="s">
        <v>59</v>
      </c>
      <c r="D13" s="2" t="s">
        <v>37</v>
      </c>
      <c r="E13" s="2" t="s">
        <v>60</v>
      </c>
      <c r="F13" s="2" t="s">
        <v>61</v>
      </c>
      <c r="G13" s="2" t="s">
        <v>50</v>
      </c>
      <c r="H13" s="2" t="s">
        <v>10</v>
      </c>
      <c r="I13" s="2" t="s">
        <v>34</v>
      </c>
      <c r="J13" s="2" t="s">
        <v>41</v>
      </c>
      <c r="K13" s="3">
        <v>3087.9</v>
      </c>
      <c r="L13" s="3">
        <v>617.58000000000004</v>
      </c>
    </row>
    <row r="14" spans="1:12" ht="20.100000000000001" customHeight="1" x14ac:dyDescent="0.25">
      <c r="A14" s="2" t="s">
        <v>15</v>
      </c>
      <c r="B14" s="2" t="s">
        <v>5</v>
      </c>
      <c r="C14" s="2" t="s">
        <v>59</v>
      </c>
      <c r="D14" s="2" t="s">
        <v>37</v>
      </c>
      <c r="E14" s="2" t="s">
        <v>68</v>
      </c>
      <c r="F14" s="2" t="s">
        <v>61</v>
      </c>
      <c r="G14" s="2" t="s">
        <v>50</v>
      </c>
      <c r="H14" s="2" t="s">
        <v>10</v>
      </c>
      <c r="I14" s="2" t="s">
        <v>34</v>
      </c>
      <c r="J14" s="2" t="s">
        <v>41</v>
      </c>
      <c r="K14" s="3">
        <v>3016.8</v>
      </c>
      <c r="L14" s="3">
        <v>603.36</v>
      </c>
    </row>
    <row r="15" spans="1:12" ht="20.100000000000001" customHeight="1" x14ac:dyDescent="0.25">
      <c r="A15" s="2" t="s">
        <v>15</v>
      </c>
      <c r="B15" s="2" t="s">
        <v>2</v>
      </c>
      <c r="C15" s="2" t="s">
        <v>59</v>
      </c>
      <c r="D15" s="2" t="s">
        <v>37</v>
      </c>
      <c r="E15" s="2" t="s">
        <v>68</v>
      </c>
      <c r="F15" s="2" t="s">
        <v>61</v>
      </c>
      <c r="G15" s="2" t="s">
        <v>50</v>
      </c>
      <c r="H15" s="2" t="s">
        <v>10</v>
      </c>
      <c r="I15" s="2" t="s">
        <v>34</v>
      </c>
      <c r="J15" s="2" t="s">
        <v>41</v>
      </c>
      <c r="K15" s="3">
        <v>3016.8</v>
      </c>
      <c r="L15" s="3">
        <v>603.36</v>
      </c>
    </row>
    <row r="16" spans="1:12" ht="20.100000000000001" customHeight="1" x14ac:dyDescent="0.25">
      <c r="A16" s="2" t="s">
        <v>15</v>
      </c>
      <c r="B16" s="2" t="s">
        <v>5</v>
      </c>
      <c r="C16" s="2" t="s">
        <v>66</v>
      </c>
      <c r="D16" s="2" t="s">
        <v>63</v>
      </c>
      <c r="E16" s="2" t="s">
        <v>69</v>
      </c>
      <c r="F16" s="2" t="s">
        <v>65</v>
      </c>
      <c r="G16" s="2" t="s">
        <v>45</v>
      </c>
      <c r="H16" s="2" t="s">
        <v>10</v>
      </c>
      <c r="I16" s="2" t="s">
        <v>34</v>
      </c>
      <c r="J16" s="2" t="s">
        <v>41</v>
      </c>
      <c r="K16" s="3">
        <v>2688</v>
      </c>
      <c r="L16" s="3">
        <v>322.56</v>
      </c>
    </row>
    <row r="17" spans="1:12" ht="20.100000000000001" customHeight="1" x14ac:dyDescent="0.25">
      <c r="A17" s="2" t="s">
        <v>15</v>
      </c>
      <c r="B17" s="2" t="s">
        <v>6</v>
      </c>
      <c r="C17" s="2" t="s">
        <v>29</v>
      </c>
      <c r="D17" s="2" t="s">
        <v>30</v>
      </c>
      <c r="E17" s="2" t="s">
        <v>70</v>
      </c>
      <c r="F17" s="2" t="s">
        <v>32</v>
      </c>
      <c r="G17" s="2" t="s">
        <v>33</v>
      </c>
      <c r="H17" s="2" t="s">
        <v>10</v>
      </c>
      <c r="I17" s="2" t="s">
        <v>34</v>
      </c>
      <c r="J17" s="2" t="s">
        <v>35</v>
      </c>
      <c r="K17" s="3">
        <v>2596.5700000000002</v>
      </c>
      <c r="L17" s="3">
        <v>0</v>
      </c>
    </row>
    <row r="18" spans="1:12" ht="20.100000000000001" customHeight="1" x14ac:dyDescent="0.25">
      <c r="A18" s="2" t="s">
        <v>15</v>
      </c>
      <c r="B18" s="2" t="s">
        <v>5</v>
      </c>
      <c r="C18" s="2" t="s">
        <v>71</v>
      </c>
      <c r="D18" s="2" t="s">
        <v>63</v>
      </c>
      <c r="E18" s="2" t="s">
        <v>72</v>
      </c>
      <c r="F18" s="2" t="s">
        <v>73</v>
      </c>
      <c r="G18" s="2" t="s">
        <v>33</v>
      </c>
      <c r="H18" s="2" t="s">
        <v>10</v>
      </c>
      <c r="I18" s="2" t="s">
        <v>34</v>
      </c>
      <c r="J18" s="2" t="s">
        <v>74</v>
      </c>
      <c r="K18" s="3">
        <v>2532.91</v>
      </c>
      <c r="L18" s="3">
        <v>101.32</v>
      </c>
    </row>
    <row r="19" spans="1:12" ht="20.100000000000001" customHeight="1" x14ac:dyDescent="0.25">
      <c r="A19" s="2" t="s">
        <v>9</v>
      </c>
      <c r="B19" s="2" t="s">
        <v>2</v>
      </c>
      <c r="C19" s="2" t="s">
        <v>75</v>
      </c>
      <c r="D19" s="2" t="s">
        <v>37</v>
      </c>
      <c r="E19" s="2" t="s">
        <v>76</v>
      </c>
      <c r="F19" s="2" t="s">
        <v>77</v>
      </c>
      <c r="G19" s="2" t="s">
        <v>78</v>
      </c>
      <c r="H19" s="2" t="s">
        <v>10</v>
      </c>
      <c r="I19" s="2" t="s">
        <v>34</v>
      </c>
      <c r="J19" s="2" t="s">
        <v>58</v>
      </c>
      <c r="K19" s="3">
        <v>2456.91</v>
      </c>
      <c r="L19" s="3">
        <v>0</v>
      </c>
    </row>
    <row r="20" spans="1:12" ht="20.100000000000001" customHeight="1" x14ac:dyDescent="0.25">
      <c r="A20" s="2" t="s">
        <v>15</v>
      </c>
      <c r="B20" s="2" t="s">
        <v>5</v>
      </c>
      <c r="C20" s="2" t="s">
        <v>59</v>
      </c>
      <c r="D20" s="2" t="s">
        <v>37</v>
      </c>
      <c r="E20" s="2" t="s">
        <v>79</v>
      </c>
      <c r="F20" s="2" t="s">
        <v>61</v>
      </c>
      <c r="G20" s="2" t="s">
        <v>50</v>
      </c>
      <c r="H20" s="2" t="s">
        <v>10</v>
      </c>
      <c r="I20" s="2" t="s">
        <v>34</v>
      </c>
      <c r="J20" s="2" t="s">
        <v>41</v>
      </c>
      <c r="K20" s="3">
        <v>2332.5</v>
      </c>
      <c r="L20" s="3">
        <v>466.5</v>
      </c>
    </row>
    <row r="21" spans="1:12" ht="20.100000000000001" customHeight="1" x14ac:dyDescent="0.25">
      <c r="A21" s="2" t="s">
        <v>15</v>
      </c>
      <c r="B21" s="2" t="s">
        <v>5</v>
      </c>
      <c r="C21" s="2" t="s">
        <v>59</v>
      </c>
      <c r="D21" s="2" t="s">
        <v>37</v>
      </c>
      <c r="E21" s="2" t="s">
        <v>79</v>
      </c>
      <c r="F21" s="2" t="s">
        <v>61</v>
      </c>
      <c r="G21" s="2" t="s">
        <v>50</v>
      </c>
      <c r="H21" s="2" t="s">
        <v>10</v>
      </c>
      <c r="I21" s="2" t="s">
        <v>34</v>
      </c>
      <c r="J21" s="2" t="s">
        <v>41</v>
      </c>
      <c r="K21" s="3">
        <v>2332.5</v>
      </c>
      <c r="L21" s="3">
        <v>466.5</v>
      </c>
    </row>
    <row r="22" spans="1:12" ht="20.100000000000001" customHeight="1" x14ac:dyDescent="0.25">
      <c r="A22" s="2" t="s">
        <v>15</v>
      </c>
      <c r="B22" s="2" t="s">
        <v>3</v>
      </c>
      <c r="C22" s="2" t="s">
        <v>59</v>
      </c>
      <c r="D22" s="2" t="s">
        <v>37</v>
      </c>
      <c r="E22" s="2" t="s">
        <v>79</v>
      </c>
      <c r="F22" s="2" t="s">
        <v>61</v>
      </c>
      <c r="G22" s="2" t="s">
        <v>50</v>
      </c>
      <c r="H22" s="2" t="s">
        <v>10</v>
      </c>
      <c r="I22" s="2" t="s">
        <v>34</v>
      </c>
      <c r="J22" s="2" t="s">
        <v>41</v>
      </c>
      <c r="K22" s="3">
        <v>2332.5</v>
      </c>
      <c r="L22" s="3">
        <v>466.5</v>
      </c>
    </row>
    <row r="23" spans="1:12" ht="20.100000000000001" customHeight="1" x14ac:dyDescent="0.25">
      <c r="A23" s="2" t="s">
        <v>15</v>
      </c>
      <c r="B23" s="2" t="s">
        <v>2</v>
      </c>
      <c r="C23" s="2" t="s">
        <v>59</v>
      </c>
      <c r="D23" s="2" t="s">
        <v>37</v>
      </c>
      <c r="E23" s="2" t="s">
        <v>79</v>
      </c>
      <c r="F23" s="2" t="s">
        <v>61</v>
      </c>
      <c r="G23" s="2" t="s">
        <v>50</v>
      </c>
      <c r="H23" s="2" t="s">
        <v>10</v>
      </c>
      <c r="I23" s="2" t="s">
        <v>34</v>
      </c>
      <c r="J23" s="2" t="s">
        <v>41</v>
      </c>
      <c r="K23" s="3">
        <v>2332.5</v>
      </c>
      <c r="L23" s="3">
        <v>466.5</v>
      </c>
    </row>
    <row r="24" spans="1:12" ht="20.100000000000001" customHeight="1" x14ac:dyDescent="0.25">
      <c r="A24" s="2" t="s">
        <v>15</v>
      </c>
      <c r="B24" s="2" t="s">
        <v>3</v>
      </c>
      <c r="C24" s="2" t="s">
        <v>80</v>
      </c>
      <c r="D24" s="2" t="s">
        <v>37</v>
      </c>
      <c r="E24" s="2" t="s">
        <v>81</v>
      </c>
      <c r="F24" s="2" t="s">
        <v>82</v>
      </c>
      <c r="G24" s="2" t="s">
        <v>83</v>
      </c>
      <c r="H24" s="2" t="s">
        <v>10</v>
      </c>
      <c r="I24" s="2" t="s">
        <v>34</v>
      </c>
      <c r="J24" s="2" t="s">
        <v>84</v>
      </c>
      <c r="K24" s="3">
        <v>2013.6</v>
      </c>
      <c r="L24" s="3">
        <v>219.68</v>
      </c>
    </row>
    <row r="25" spans="1:12" ht="20.100000000000001" customHeight="1" x14ac:dyDescent="0.25">
      <c r="A25" s="2" t="s">
        <v>15</v>
      </c>
      <c r="B25" s="2" t="s">
        <v>7</v>
      </c>
      <c r="C25" s="2" t="s">
        <v>62</v>
      </c>
      <c r="D25" s="2" t="s">
        <v>63</v>
      </c>
      <c r="E25" s="2" t="s">
        <v>85</v>
      </c>
      <c r="F25" s="2" t="s">
        <v>65</v>
      </c>
      <c r="G25" s="2" t="s">
        <v>45</v>
      </c>
      <c r="H25" s="2" t="s">
        <v>10</v>
      </c>
      <c r="I25" s="2" t="s">
        <v>34</v>
      </c>
      <c r="J25" s="2" t="s">
        <v>41</v>
      </c>
      <c r="K25" s="3">
        <v>1849</v>
      </c>
      <c r="L25" s="3">
        <v>221.88</v>
      </c>
    </row>
    <row r="26" spans="1:12" ht="20.100000000000001" customHeight="1" x14ac:dyDescent="0.25">
      <c r="A26" s="2" t="s">
        <v>15</v>
      </c>
      <c r="B26" s="2" t="s">
        <v>4</v>
      </c>
      <c r="C26" s="2" t="s">
        <v>62</v>
      </c>
      <c r="D26" s="2" t="s">
        <v>63</v>
      </c>
      <c r="E26" s="2" t="s">
        <v>85</v>
      </c>
      <c r="F26" s="2" t="s">
        <v>65</v>
      </c>
      <c r="G26" s="2" t="s">
        <v>45</v>
      </c>
      <c r="H26" s="2" t="s">
        <v>10</v>
      </c>
      <c r="I26" s="2" t="s">
        <v>34</v>
      </c>
      <c r="J26" s="2" t="s">
        <v>41</v>
      </c>
      <c r="K26" s="3">
        <v>1849</v>
      </c>
      <c r="L26" s="3">
        <v>221.88</v>
      </c>
    </row>
    <row r="27" spans="1:12" ht="20.100000000000001" customHeight="1" x14ac:dyDescent="0.25">
      <c r="A27" s="2" t="s">
        <v>15</v>
      </c>
      <c r="B27" s="2" t="s">
        <v>7</v>
      </c>
      <c r="C27" s="2" t="s">
        <v>62</v>
      </c>
      <c r="D27" s="2" t="s">
        <v>63</v>
      </c>
      <c r="E27" s="2" t="s">
        <v>64</v>
      </c>
      <c r="F27" s="2" t="s">
        <v>65</v>
      </c>
      <c r="G27" s="2" t="s">
        <v>45</v>
      </c>
      <c r="H27" s="2" t="s">
        <v>10</v>
      </c>
      <c r="I27" s="2" t="s">
        <v>34</v>
      </c>
      <c r="J27" s="2" t="s">
        <v>41</v>
      </c>
      <c r="K27" s="3">
        <v>1849</v>
      </c>
      <c r="L27" s="3">
        <v>221.88</v>
      </c>
    </row>
    <row r="28" spans="1:12" ht="20.100000000000001" customHeight="1" x14ac:dyDescent="0.25">
      <c r="A28" s="2" t="s">
        <v>15</v>
      </c>
      <c r="B28" s="2" t="s">
        <v>6</v>
      </c>
      <c r="C28" s="2" t="s">
        <v>62</v>
      </c>
      <c r="D28" s="2" t="s">
        <v>63</v>
      </c>
      <c r="E28" s="2" t="s">
        <v>64</v>
      </c>
      <c r="F28" s="2" t="s">
        <v>65</v>
      </c>
      <c r="G28" s="2" t="s">
        <v>45</v>
      </c>
      <c r="H28" s="2" t="s">
        <v>10</v>
      </c>
      <c r="I28" s="2" t="s">
        <v>34</v>
      </c>
      <c r="J28" s="2" t="s">
        <v>41</v>
      </c>
      <c r="K28" s="3">
        <v>1849</v>
      </c>
      <c r="L28" s="3">
        <v>221.88</v>
      </c>
    </row>
    <row r="29" spans="1:12" ht="20.100000000000001" customHeight="1" x14ac:dyDescent="0.25">
      <c r="A29" s="2" t="s">
        <v>15</v>
      </c>
      <c r="B29" s="2" t="s">
        <v>4</v>
      </c>
      <c r="C29" s="2" t="s">
        <v>62</v>
      </c>
      <c r="D29" s="2" t="s">
        <v>63</v>
      </c>
      <c r="E29" s="2" t="s">
        <v>64</v>
      </c>
      <c r="F29" s="2" t="s">
        <v>65</v>
      </c>
      <c r="G29" s="2" t="s">
        <v>45</v>
      </c>
      <c r="H29" s="2" t="s">
        <v>10</v>
      </c>
      <c r="I29" s="2" t="s">
        <v>34</v>
      </c>
      <c r="J29" s="2" t="s">
        <v>41</v>
      </c>
      <c r="K29" s="3">
        <v>1849</v>
      </c>
      <c r="L29" s="3">
        <v>221.88</v>
      </c>
    </row>
    <row r="30" spans="1:12" ht="20.100000000000001" customHeight="1" x14ac:dyDescent="0.25">
      <c r="A30" s="2" t="s">
        <v>9</v>
      </c>
      <c r="B30" s="2" t="s">
        <v>2</v>
      </c>
      <c r="C30" s="2" t="s">
        <v>75</v>
      </c>
      <c r="D30" s="2" t="s">
        <v>37</v>
      </c>
      <c r="E30" s="2" t="s">
        <v>86</v>
      </c>
      <c r="F30" s="2" t="s">
        <v>87</v>
      </c>
      <c r="G30" s="2" t="s">
        <v>78</v>
      </c>
      <c r="H30" s="2" t="s">
        <v>10</v>
      </c>
      <c r="I30" s="2" t="s">
        <v>34</v>
      </c>
      <c r="J30" s="2" t="s">
        <v>58</v>
      </c>
      <c r="K30" s="3">
        <v>1708</v>
      </c>
      <c r="L30" s="3">
        <v>0</v>
      </c>
    </row>
    <row r="31" spans="1:12" ht="20.100000000000001" customHeight="1" x14ac:dyDescent="0.25">
      <c r="A31" s="2" t="s">
        <v>15</v>
      </c>
      <c r="B31" s="2" t="s">
        <v>4</v>
      </c>
      <c r="C31" s="2" t="s">
        <v>88</v>
      </c>
      <c r="D31" s="2" t="s">
        <v>30</v>
      </c>
      <c r="E31" s="2" t="s">
        <v>89</v>
      </c>
      <c r="F31" s="2" t="s">
        <v>90</v>
      </c>
      <c r="G31" s="2" t="s">
        <v>33</v>
      </c>
      <c r="H31" s="2" t="s">
        <v>10</v>
      </c>
      <c r="I31" s="2" t="s">
        <v>34</v>
      </c>
      <c r="J31" s="2" t="s">
        <v>58</v>
      </c>
      <c r="K31" s="3">
        <v>1670.8</v>
      </c>
      <c r="L31" s="3">
        <v>190.47</v>
      </c>
    </row>
    <row r="32" spans="1:12" ht="20.100000000000001" customHeight="1" x14ac:dyDescent="0.25">
      <c r="A32" s="2" t="s">
        <v>9</v>
      </c>
      <c r="B32" s="2" t="s">
        <v>2</v>
      </c>
      <c r="C32" s="2" t="s">
        <v>75</v>
      </c>
      <c r="D32" s="2" t="s">
        <v>37</v>
      </c>
      <c r="E32" s="2" t="s">
        <v>91</v>
      </c>
      <c r="F32" s="2" t="s">
        <v>87</v>
      </c>
      <c r="G32" s="2" t="s">
        <v>78</v>
      </c>
      <c r="H32" s="2" t="s">
        <v>10</v>
      </c>
      <c r="I32" s="2" t="s">
        <v>34</v>
      </c>
      <c r="J32" s="2" t="s">
        <v>58</v>
      </c>
      <c r="K32" s="3">
        <v>1633.4</v>
      </c>
      <c r="L32" s="3">
        <v>0</v>
      </c>
    </row>
    <row r="33" spans="1:12" ht="20.100000000000001" customHeight="1" x14ac:dyDescent="0.25">
      <c r="A33" s="2" t="s">
        <v>15</v>
      </c>
      <c r="B33" s="2" t="s">
        <v>2</v>
      </c>
      <c r="C33" s="2" t="s">
        <v>66</v>
      </c>
      <c r="D33" s="2" t="s">
        <v>63</v>
      </c>
      <c r="E33" s="2" t="s">
        <v>92</v>
      </c>
      <c r="F33" s="2" t="s">
        <v>65</v>
      </c>
      <c r="G33" s="2" t="s">
        <v>45</v>
      </c>
      <c r="H33" s="2" t="s">
        <v>10</v>
      </c>
      <c r="I33" s="2" t="s">
        <v>34</v>
      </c>
      <c r="J33" s="2" t="s">
        <v>41</v>
      </c>
      <c r="K33" s="3">
        <v>1612.8</v>
      </c>
      <c r="L33" s="3">
        <v>193.54</v>
      </c>
    </row>
    <row r="34" spans="1:12" ht="20.100000000000001" customHeight="1" x14ac:dyDescent="0.25">
      <c r="A34" s="2" t="s">
        <v>9</v>
      </c>
      <c r="B34" s="2" t="s">
        <v>2</v>
      </c>
      <c r="C34" s="2" t="s">
        <v>93</v>
      </c>
      <c r="D34" s="2" t="s">
        <v>63</v>
      </c>
      <c r="E34" s="2" t="s">
        <v>94</v>
      </c>
      <c r="F34" s="2" t="s">
        <v>65</v>
      </c>
      <c r="G34" s="2" t="s">
        <v>45</v>
      </c>
      <c r="H34" s="2" t="s">
        <v>10</v>
      </c>
      <c r="I34" s="2" t="s">
        <v>34</v>
      </c>
      <c r="J34" s="2" t="s">
        <v>41</v>
      </c>
      <c r="K34" s="3">
        <v>1587.6</v>
      </c>
      <c r="L34" s="3">
        <v>0</v>
      </c>
    </row>
    <row r="35" spans="1:12" ht="20.100000000000001" customHeight="1" x14ac:dyDescent="0.25">
      <c r="A35" s="2" t="s">
        <v>15</v>
      </c>
      <c r="B35" s="2" t="s">
        <v>7</v>
      </c>
      <c r="C35" s="2" t="s">
        <v>80</v>
      </c>
      <c r="D35" s="2" t="s">
        <v>37</v>
      </c>
      <c r="E35" s="2" t="s">
        <v>95</v>
      </c>
      <c r="F35" s="2" t="s">
        <v>82</v>
      </c>
      <c r="G35" s="2" t="s">
        <v>83</v>
      </c>
      <c r="H35" s="2" t="s">
        <v>10</v>
      </c>
      <c r="I35" s="2" t="s">
        <v>34</v>
      </c>
      <c r="J35" s="2" t="s">
        <v>84</v>
      </c>
      <c r="K35" s="3">
        <v>1482.3</v>
      </c>
      <c r="L35" s="3">
        <v>161.72</v>
      </c>
    </row>
    <row r="36" spans="1:12" ht="20.100000000000001" customHeight="1" x14ac:dyDescent="0.25">
      <c r="A36" s="2" t="s">
        <v>15</v>
      </c>
      <c r="B36" s="2" t="s">
        <v>3</v>
      </c>
      <c r="C36" s="2" t="s">
        <v>96</v>
      </c>
      <c r="D36" s="2" t="s">
        <v>63</v>
      </c>
      <c r="E36" s="2" t="s">
        <v>97</v>
      </c>
      <c r="F36" s="2" t="s">
        <v>98</v>
      </c>
      <c r="G36" s="2" t="s">
        <v>33</v>
      </c>
      <c r="H36" s="2" t="s">
        <v>10</v>
      </c>
      <c r="I36" s="2" t="s">
        <v>34</v>
      </c>
      <c r="J36" s="2" t="s">
        <v>58</v>
      </c>
      <c r="K36" s="3">
        <v>1404</v>
      </c>
      <c r="L36" s="3">
        <v>56.16</v>
      </c>
    </row>
    <row r="37" spans="1:12" ht="20.100000000000001" customHeight="1" x14ac:dyDescent="0.25">
      <c r="A37" s="2" t="s">
        <v>15</v>
      </c>
      <c r="B37" s="2" t="s">
        <v>6</v>
      </c>
      <c r="C37" s="2" t="s">
        <v>66</v>
      </c>
      <c r="D37" s="2" t="s">
        <v>63</v>
      </c>
      <c r="E37" s="2" t="s">
        <v>99</v>
      </c>
      <c r="F37" s="2" t="s">
        <v>65</v>
      </c>
      <c r="G37" s="2" t="s">
        <v>45</v>
      </c>
      <c r="H37" s="2" t="s">
        <v>10</v>
      </c>
      <c r="I37" s="2" t="s">
        <v>34</v>
      </c>
      <c r="J37" s="2" t="s">
        <v>41</v>
      </c>
      <c r="K37" s="3">
        <v>1344</v>
      </c>
      <c r="L37" s="3">
        <v>161.28</v>
      </c>
    </row>
    <row r="38" spans="1:12" ht="20.100000000000001" customHeight="1" x14ac:dyDescent="0.25">
      <c r="A38" s="2" t="s">
        <v>15</v>
      </c>
      <c r="B38" s="2" t="s">
        <v>6</v>
      </c>
      <c r="C38" s="2" t="s">
        <v>100</v>
      </c>
      <c r="D38" s="2" t="s">
        <v>37</v>
      </c>
      <c r="E38" s="2" t="s">
        <v>101</v>
      </c>
      <c r="F38" s="2" t="s">
        <v>102</v>
      </c>
      <c r="G38" s="2" t="s">
        <v>83</v>
      </c>
      <c r="H38" s="2" t="s">
        <v>10</v>
      </c>
      <c r="I38" s="2" t="s">
        <v>34</v>
      </c>
      <c r="J38" s="2" t="s">
        <v>74</v>
      </c>
      <c r="K38" s="3">
        <v>1342.24</v>
      </c>
      <c r="L38" s="3">
        <v>146.44</v>
      </c>
    </row>
    <row r="39" spans="1:12" ht="20.100000000000001" customHeight="1" x14ac:dyDescent="0.25">
      <c r="A39" s="2" t="s">
        <v>15</v>
      </c>
      <c r="B39" s="2" t="s">
        <v>7</v>
      </c>
      <c r="C39" s="2" t="s">
        <v>66</v>
      </c>
      <c r="D39" s="2" t="s">
        <v>63</v>
      </c>
      <c r="E39" s="2" t="s">
        <v>103</v>
      </c>
      <c r="F39" s="2" t="s">
        <v>65</v>
      </c>
      <c r="G39" s="2" t="s">
        <v>45</v>
      </c>
      <c r="H39" s="2" t="s">
        <v>10</v>
      </c>
      <c r="I39" s="2" t="s">
        <v>34</v>
      </c>
      <c r="J39" s="2" t="s">
        <v>41</v>
      </c>
      <c r="K39" s="3">
        <v>1302.5999999999999</v>
      </c>
      <c r="L39" s="3">
        <v>156.31</v>
      </c>
    </row>
    <row r="40" spans="1:12" ht="20.100000000000001" customHeight="1" x14ac:dyDescent="0.25">
      <c r="A40" s="2" t="s">
        <v>9</v>
      </c>
      <c r="B40" s="2" t="s">
        <v>7</v>
      </c>
      <c r="C40" s="2" t="s">
        <v>93</v>
      </c>
      <c r="D40" s="2" t="s">
        <v>63</v>
      </c>
      <c r="E40" s="2" t="s">
        <v>104</v>
      </c>
      <c r="F40" s="2" t="s">
        <v>65</v>
      </c>
      <c r="G40" s="2" t="s">
        <v>45</v>
      </c>
      <c r="H40" s="2" t="s">
        <v>10</v>
      </c>
      <c r="I40" s="2" t="s">
        <v>34</v>
      </c>
      <c r="J40" s="2" t="s">
        <v>41</v>
      </c>
      <c r="K40" s="3">
        <v>1190.7</v>
      </c>
      <c r="L40" s="3">
        <v>0</v>
      </c>
    </row>
    <row r="41" spans="1:12" ht="20.100000000000001" customHeight="1" x14ac:dyDescent="0.25">
      <c r="A41" s="2" t="s">
        <v>15</v>
      </c>
      <c r="B41" s="2" t="s">
        <v>7</v>
      </c>
      <c r="C41" s="2" t="s">
        <v>93</v>
      </c>
      <c r="D41" s="2" t="s">
        <v>63</v>
      </c>
      <c r="E41" s="2" t="s">
        <v>104</v>
      </c>
      <c r="F41" s="2" t="s">
        <v>65</v>
      </c>
      <c r="G41" s="2" t="s">
        <v>45</v>
      </c>
      <c r="H41" s="2" t="s">
        <v>10</v>
      </c>
      <c r="I41" s="2" t="s">
        <v>34</v>
      </c>
      <c r="J41" s="2" t="s">
        <v>41</v>
      </c>
      <c r="K41" s="3">
        <v>1190.7</v>
      </c>
      <c r="L41" s="3">
        <v>0</v>
      </c>
    </row>
    <row r="42" spans="1:12" ht="20.100000000000001" customHeight="1" x14ac:dyDescent="0.25">
      <c r="A42" s="2" t="s">
        <v>15</v>
      </c>
      <c r="B42" s="2" t="s">
        <v>2</v>
      </c>
      <c r="C42" s="2" t="s">
        <v>66</v>
      </c>
      <c r="D42" s="2" t="s">
        <v>63</v>
      </c>
      <c r="E42" s="2" t="s">
        <v>105</v>
      </c>
      <c r="F42" s="2" t="s">
        <v>65</v>
      </c>
      <c r="G42" s="2" t="s">
        <v>45</v>
      </c>
      <c r="H42" s="2" t="s">
        <v>10</v>
      </c>
      <c r="I42" s="2" t="s">
        <v>34</v>
      </c>
      <c r="J42" s="2" t="s">
        <v>41</v>
      </c>
      <c r="K42" s="3">
        <v>1152</v>
      </c>
      <c r="L42" s="3">
        <v>138.24</v>
      </c>
    </row>
    <row r="43" spans="1:12" ht="20.100000000000001" customHeight="1" x14ac:dyDescent="0.25">
      <c r="A43" s="2" t="s">
        <v>15</v>
      </c>
      <c r="B43" s="2" t="s">
        <v>5</v>
      </c>
      <c r="C43" s="2" t="s">
        <v>62</v>
      </c>
      <c r="D43" s="2" t="s">
        <v>63</v>
      </c>
      <c r="E43" s="2" t="s">
        <v>64</v>
      </c>
      <c r="F43" s="2" t="s">
        <v>65</v>
      </c>
      <c r="G43" s="2" t="s">
        <v>45</v>
      </c>
      <c r="H43" s="2" t="s">
        <v>10</v>
      </c>
      <c r="I43" s="2" t="s">
        <v>34</v>
      </c>
      <c r="J43" s="2" t="s">
        <v>41</v>
      </c>
      <c r="K43" s="3">
        <v>1109.4000000000001</v>
      </c>
      <c r="L43" s="3">
        <v>133.13</v>
      </c>
    </row>
    <row r="44" spans="1:12" ht="20.100000000000001" customHeight="1" x14ac:dyDescent="0.25">
      <c r="A44" s="2" t="s">
        <v>15</v>
      </c>
      <c r="B44" s="2" t="s">
        <v>3</v>
      </c>
      <c r="C44" s="2" t="s">
        <v>106</v>
      </c>
      <c r="D44" s="2" t="s">
        <v>30</v>
      </c>
      <c r="E44" s="2" t="s">
        <v>107</v>
      </c>
      <c r="F44" s="2" t="s">
        <v>57</v>
      </c>
      <c r="G44" s="2" t="s">
        <v>33</v>
      </c>
      <c r="H44" s="2" t="s">
        <v>10</v>
      </c>
      <c r="I44" s="2" t="s">
        <v>34</v>
      </c>
      <c r="J44" s="2" t="s">
        <v>74</v>
      </c>
      <c r="K44" s="3">
        <v>1065</v>
      </c>
      <c r="L44" s="3">
        <v>43.78</v>
      </c>
    </row>
    <row r="45" spans="1:12" ht="20.100000000000001" customHeight="1" x14ac:dyDescent="0.25">
      <c r="A45" s="2" t="s">
        <v>15</v>
      </c>
      <c r="B45" s="2" t="s">
        <v>4</v>
      </c>
      <c r="C45" s="2" t="s">
        <v>93</v>
      </c>
      <c r="D45" s="2" t="s">
        <v>63</v>
      </c>
      <c r="E45" s="2" t="s">
        <v>104</v>
      </c>
      <c r="F45" s="2" t="s">
        <v>65</v>
      </c>
      <c r="G45" s="2" t="s">
        <v>45</v>
      </c>
      <c r="H45" s="2" t="s">
        <v>10</v>
      </c>
      <c r="I45" s="2" t="s">
        <v>34</v>
      </c>
      <c r="J45" s="2" t="s">
        <v>41</v>
      </c>
      <c r="K45" s="3">
        <v>992.25</v>
      </c>
      <c r="L45" s="3">
        <v>0</v>
      </c>
    </row>
    <row r="46" spans="1:12" ht="20.100000000000001" customHeight="1" x14ac:dyDescent="0.25">
      <c r="A46" s="2" t="s">
        <v>15</v>
      </c>
      <c r="B46" s="2" t="s">
        <v>5</v>
      </c>
      <c r="C46" s="2" t="s">
        <v>71</v>
      </c>
      <c r="D46" s="2" t="s">
        <v>63</v>
      </c>
      <c r="E46" s="2" t="s">
        <v>108</v>
      </c>
      <c r="F46" s="2" t="s">
        <v>73</v>
      </c>
      <c r="G46" s="2" t="s">
        <v>33</v>
      </c>
      <c r="H46" s="2" t="s">
        <v>10</v>
      </c>
      <c r="I46" s="2" t="s">
        <v>34</v>
      </c>
      <c r="J46" s="2" t="s">
        <v>74</v>
      </c>
      <c r="K46" s="3">
        <v>984.98</v>
      </c>
      <c r="L46" s="3">
        <v>39.4</v>
      </c>
    </row>
    <row r="47" spans="1:12" ht="20.100000000000001" customHeight="1" x14ac:dyDescent="0.25">
      <c r="A47" s="2" t="s">
        <v>15</v>
      </c>
      <c r="B47" s="2" t="s">
        <v>5</v>
      </c>
      <c r="C47" s="2" t="s">
        <v>71</v>
      </c>
      <c r="D47" s="2" t="s">
        <v>63</v>
      </c>
      <c r="E47" s="2" t="s">
        <v>109</v>
      </c>
      <c r="F47" s="2" t="s">
        <v>110</v>
      </c>
      <c r="G47" s="2" t="s">
        <v>33</v>
      </c>
      <c r="H47" s="2" t="s">
        <v>10</v>
      </c>
      <c r="I47" s="2" t="s">
        <v>34</v>
      </c>
      <c r="J47" s="2" t="s">
        <v>74</v>
      </c>
      <c r="K47" s="3">
        <v>932.93</v>
      </c>
      <c r="L47" s="3">
        <v>37.32</v>
      </c>
    </row>
    <row r="48" spans="1:12" ht="20.100000000000001" customHeight="1" x14ac:dyDescent="0.25">
      <c r="A48" s="2" t="s">
        <v>15</v>
      </c>
      <c r="B48" s="2" t="s">
        <v>7</v>
      </c>
      <c r="C48" s="2" t="s">
        <v>111</v>
      </c>
      <c r="D48" s="2" t="s">
        <v>30</v>
      </c>
      <c r="E48" s="2" t="s">
        <v>112</v>
      </c>
      <c r="F48" s="2" t="s">
        <v>113</v>
      </c>
      <c r="G48" s="2" t="s">
        <v>45</v>
      </c>
      <c r="H48" s="2" t="s">
        <v>10</v>
      </c>
      <c r="I48" s="2" t="s">
        <v>34</v>
      </c>
      <c r="J48" s="2" t="s">
        <v>74</v>
      </c>
      <c r="K48" s="3">
        <v>931.04</v>
      </c>
      <c r="L48" s="3">
        <v>111.72</v>
      </c>
    </row>
    <row r="49" spans="1:12" ht="20.100000000000001" customHeight="1" x14ac:dyDescent="0.25">
      <c r="A49" s="2" t="s">
        <v>15</v>
      </c>
      <c r="B49" s="2" t="s">
        <v>5</v>
      </c>
      <c r="C49" s="2" t="s">
        <v>62</v>
      </c>
      <c r="D49" s="2" t="s">
        <v>63</v>
      </c>
      <c r="E49" s="2" t="s">
        <v>85</v>
      </c>
      <c r="F49" s="2" t="s">
        <v>65</v>
      </c>
      <c r="G49" s="2" t="s">
        <v>45</v>
      </c>
      <c r="H49" s="2" t="s">
        <v>10</v>
      </c>
      <c r="I49" s="2" t="s">
        <v>34</v>
      </c>
      <c r="J49" s="2" t="s">
        <v>41</v>
      </c>
      <c r="K49" s="3">
        <v>924.5</v>
      </c>
      <c r="L49" s="3">
        <v>110.94</v>
      </c>
    </row>
    <row r="50" spans="1:12" ht="20.100000000000001" customHeight="1" x14ac:dyDescent="0.25">
      <c r="A50" s="2" t="s">
        <v>15</v>
      </c>
      <c r="B50" s="2" t="s">
        <v>4</v>
      </c>
      <c r="C50" s="2" t="s">
        <v>62</v>
      </c>
      <c r="D50" s="2" t="s">
        <v>63</v>
      </c>
      <c r="E50" s="2" t="s">
        <v>85</v>
      </c>
      <c r="F50" s="2" t="s">
        <v>65</v>
      </c>
      <c r="G50" s="2" t="s">
        <v>45</v>
      </c>
      <c r="H50" s="2" t="s">
        <v>10</v>
      </c>
      <c r="I50" s="2" t="s">
        <v>34</v>
      </c>
      <c r="J50" s="2" t="s">
        <v>41</v>
      </c>
      <c r="K50" s="3">
        <v>924.5</v>
      </c>
      <c r="L50" s="3">
        <v>110.94</v>
      </c>
    </row>
    <row r="51" spans="1:12" ht="20.100000000000001" customHeight="1" x14ac:dyDescent="0.25">
      <c r="A51" s="2" t="s">
        <v>15</v>
      </c>
      <c r="B51" s="2" t="s">
        <v>3</v>
      </c>
      <c r="C51" s="2" t="s">
        <v>62</v>
      </c>
      <c r="D51" s="2" t="s">
        <v>63</v>
      </c>
      <c r="E51" s="2" t="s">
        <v>85</v>
      </c>
      <c r="F51" s="2" t="s">
        <v>65</v>
      </c>
      <c r="G51" s="2" t="s">
        <v>45</v>
      </c>
      <c r="H51" s="2" t="s">
        <v>10</v>
      </c>
      <c r="I51" s="2" t="s">
        <v>34</v>
      </c>
      <c r="J51" s="2" t="s">
        <v>41</v>
      </c>
      <c r="K51" s="3">
        <v>924.5</v>
      </c>
      <c r="L51" s="3">
        <v>110.94</v>
      </c>
    </row>
    <row r="52" spans="1:12" ht="20.100000000000001" customHeight="1" x14ac:dyDescent="0.25">
      <c r="A52" s="2" t="s">
        <v>15</v>
      </c>
      <c r="B52" s="2" t="s">
        <v>3</v>
      </c>
      <c r="C52" s="2" t="s">
        <v>62</v>
      </c>
      <c r="D52" s="2" t="s">
        <v>63</v>
      </c>
      <c r="E52" s="2" t="s">
        <v>64</v>
      </c>
      <c r="F52" s="2" t="s">
        <v>65</v>
      </c>
      <c r="G52" s="2" t="s">
        <v>45</v>
      </c>
      <c r="H52" s="2" t="s">
        <v>10</v>
      </c>
      <c r="I52" s="2" t="s">
        <v>34</v>
      </c>
      <c r="J52" s="2" t="s">
        <v>41</v>
      </c>
      <c r="K52" s="3">
        <v>924.5</v>
      </c>
      <c r="L52" s="3">
        <v>110.94</v>
      </c>
    </row>
    <row r="53" spans="1:12" ht="20.100000000000001" customHeight="1" x14ac:dyDescent="0.25">
      <c r="A53" s="2" t="s">
        <v>15</v>
      </c>
      <c r="B53" s="2" t="s">
        <v>5</v>
      </c>
      <c r="C53" s="2" t="s">
        <v>100</v>
      </c>
      <c r="D53" s="2" t="s">
        <v>37</v>
      </c>
      <c r="E53" s="2" t="s">
        <v>114</v>
      </c>
      <c r="F53" s="2" t="s">
        <v>115</v>
      </c>
      <c r="G53" s="2" t="s">
        <v>83</v>
      </c>
      <c r="H53" s="2" t="s">
        <v>10</v>
      </c>
      <c r="I53" s="2" t="s">
        <v>34</v>
      </c>
      <c r="J53" s="2" t="s">
        <v>51</v>
      </c>
      <c r="K53" s="3">
        <v>896</v>
      </c>
      <c r="L53" s="3">
        <v>179.2</v>
      </c>
    </row>
    <row r="54" spans="1:12" ht="20.100000000000001" customHeight="1" x14ac:dyDescent="0.25">
      <c r="A54" s="2" t="s">
        <v>15</v>
      </c>
      <c r="B54" s="2" t="s">
        <v>6</v>
      </c>
      <c r="C54" s="2" t="s">
        <v>100</v>
      </c>
      <c r="D54" s="2" t="s">
        <v>37</v>
      </c>
      <c r="E54" s="2" t="s">
        <v>116</v>
      </c>
      <c r="F54" s="2" t="s">
        <v>115</v>
      </c>
      <c r="G54" s="2" t="s">
        <v>83</v>
      </c>
      <c r="H54" s="2" t="s">
        <v>10</v>
      </c>
      <c r="I54" s="2" t="s">
        <v>34</v>
      </c>
      <c r="J54" s="2" t="s">
        <v>51</v>
      </c>
      <c r="K54" s="3">
        <v>891.2</v>
      </c>
      <c r="L54" s="3">
        <v>178.24</v>
      </c>
    </row>
    <row r="55" spans="1:12" ht="20.100000000000001" customHeight="1" x14ac:dyDescent="0.25">
      <c r="A55" s="2" t="s">
        <v>15</v>
      </c>
      <c r="B55" s="2" t="s">
        <v>6</v>
      </c>
      <c r="C55" s="2" t="s">
        <v>117</v>
      </c>
      <c r="D55" s="2" t="s">
        <v>118</v>
      </c>
      <c r="E55" s="2" t="s">
        <v>119</v>
      </c>
      <c r="F55" s="2" t="s">
        <v>115</v>
      </c>
      <c r="G55" s="2" t="s">
        <v>120</v>
      </c>
      <c r="H55" s="2" t="s">
        <v>10</v>
      </c>
      <c r="I55" s="2" t="s">
        <v>34</v>
      </c>
      <c r="J55" s="2" t="s">
        <v>51</v>
      </c>
      <c r="K55" s="3">
        <v>869.95</v>
      </c>
      <c r="L55" s="3">
        <v>104.39</v>
      </c>
    </row>
    <row r="56" spans="1:12" ht="20.100000000000001" customHeight="1" x14ac:dyDescent="0.25">
      <c r="A56" s="2" t="s">
        <v>15</v>
      </c>
      <c r="B56" s="2" t="s">
        <v>3</v>
      </c>
      <c r="C56" s="2" t="s">
        <v>62</v>
      </c>
      <c r="D56" s="2" t="s">
        <v>63</v>
      </c>
      <c r="E56" s="2" t="s">
        <v>121</v>
      </c>
      <c r="F56" s="2" t="s">
        <v>65</v>
      </c>
      <c r="G56" s="2" t="s">
        <v>45</v>
      </c>
      <c r="H56" s="2" t="s">
        <v>10</v>
      </c>
      <c r="I56" s="2" t="s">
        <v>34</v>
      </c>
      <c r="J56" s="2" t="s">
        <v>41</v>
      </c>
      <c r="K56" s="3">
        <v>855</v>
      </c>
      <c r="L56" s="3">
        <v>102.6</v>
      </c>
    </row>
    <row r="57" spans="1:12" ht="20.100000000000001" customHeight="1" x14ac:dyDescent="0.25">
      <c r="A57" s="2" t="s">
        <v>15</v>
      </c>
      <c r="B57" s="2" t="s">
        <v>2</v>
      </c>
      <c r="C57" s="2" t="s">
        <v>122</v>
      </c>
      <c r="D57" s="2" t="s">
        <v>30</v>
      </c>
      <c r="E57" s="2" t="s">
        <v>123</v>
      </c>
      <c r="F57" s="2" t="s">
        <v>32</v>
      </c>
      <c r="G57" s="2" t="s">
        <v>124</v>
      </c>
      <c r="H57" s="2" t="s">
        <v>10</v>
      </c>
      <c r="I57" s="2" t="s">
        <v>34</v>
      </c>
      <c r="J57" s="2" t="s">
        <v>41</v>
      </c>
      <c r="K57" s="3">
        <v>850.2</v>
      </c>
      <c r="L57" s="3">
        <v>0</v>
      </c>
    </row>
    <row r="58" spans="1:12" ht="20.100000000000001" customHeight="1" x14ac:dyDescent="0.25">
      <c r="A58" s="2" t="s">
        <v>15</v>
      </c>
      <c r="B58" s="2" t="s">
        <v>2</v>
      </c>
      <c r="C58" s="2" t="s">
        <v>122</v>
      </c>
      <c r="D58" s="2" t="s">
        <v>30</v>
      </c>
      <c r="E58" s="2" t="s">
        <v>123</v>
      </c>
      <c r="F58" s="2" t="s">
        <v>32</v>
      </c>
      <c r="G58" s="2" t="s">
        <v>45</v>
      </c>
      <c r="H58" s="2" t="s">
        <v>10</v>
      </c>
      <c r="I58" s="2" t="s">
        <v>34</v>
      </c>
      <c r="J58" s="2" t="s">
        <v>41</v>
      </c>
      <c r="K58" s="3">
        <v>850.2</v>
      </c>
      <c r="L58" s="3">
        <v>0</v>
      </c>
    </row>
    <row r="59" spans="1:12" ht="20.100000000000001" customHeight="1" x14ac:dyDescent="0.25">
      <c r="A59" s="2" t="s">
        <v>15</v>
      </c>
      <c r="B59" s="2" t="s">
        <v>2</v>
      </c>
      <c r="C59" s="2" t="s">
        <v>122</v>
      </c>
      <c r="D59" s="2" t="s">
        <v>30</v>
      </c>
      <c r="E59" s="2" t="s">
        <v>123</v>
      </c>
      <c r="F59" s="2" t="s">
        <v>32</v>
      </c>
      <c r="G59" s="2" t="s">
        <v>124</v>
      </c>
      <c r="H59" s="2" t="s">
        <v>10</v>
      </c>
      <c r="I59" s="2" t="s">
        <v>34</v>
      </c>
      <c r="J59" s="2" t="s">
        <v>41</v>
      </c>
      <c r="K59" s="3">
        <v>850.2</v>
      </c>
      <c r="L59" s="3">
        <v>0</v>
      </c>
    </row>
    <row r="60" spans="1:12" ht="20.100000000000001" customHeight="1" x14ac:dyDescent="0.25">
      <c r="A60" s="2" t="s">
        <v>15</v>
      </c>
      <c r="B60" s="2" t="s">
        <v>7</v>
      </c>
      <c r="C60" s="2" t="s">
        <v>125</v>
      </c>
      <c r="D60" s="2" t="s">
        <v>30</v>
      </c>
      <c r="E60" s="2" t="s">
        <v>126</v>
      </c>
      <c r="F60" s="2" t="s">
        <v>127</v>
      </c>
      <c r="G60" s="2" t="s">
        <v>33</v>
      </c>
      <c r="H60" s="2" t="s">
        <v>10</v>
      </c>
      <c r="I60" s="2" t="s">
        <v>34</v>
      </c>
      <c r="J60" s="2" t="s">
        <v>58</v>
      </c>
      <c r="K60" s="3">
        <v>849.2</v>
      </c>
      <c r="L60" s="3">
        <v>33.97</v>
      </c>
    </row>
    <row r="61" spans="1:12" ht="20.100000000000001" customHeight="1" x14ac:dyDescent="0.25">
      <c r="A61" s="2" t="s">
        <v>9</v>
      </c>
      <c r="B61" s="2" t="s">
        <v>2</v>
      </c>
      <c r="C61" s="2" t="s">
        <v>75</v>
      </c>
      <c r="D61" s="2" t="s">
        <v>37</v>
      </c>
      <c r="E61" s="2" t="s">
        <v>128</v>
      </c>
      <c r="F61" s="2" t="s">
        <v>129</v>
      </c>
      <c r="G61" s="2" t="s">
        <v>78</v>
      </c>
      <c r="H61" s="2" t="s">
        <v>10</v>
      </c>
      <c r="I61" s="2" t="s">
        <v>34</v>
      </c>
      <c r="J61" s="2" t="s">
        <v>130</v>
      </c>
      <c r="K61" s="3">
        <v>841</v>
      </c>
      <c r="L61" s="3">
        <v>0</v>
      </c>
    </row>
    <row r="62" spans="1:12" ht="20.100000000000001" customHeight="1" x14ac:dyDescent="0.25">
      <c r="A62" s="2" t="s">
        <v>15</v>
      </c>
      <c r="B62" s="2" t="s">
        <v>6</v>
      </c>
      <c r="C62" s="2" t="s">
        <v>29</v>
      </c>
      <c r="D62" s="2" t="s">
        <v>30</v>
      </c>
      <c r="E62" s="2" t="s">
        <v>131</v>
      </c>
      <c r="F62" s="2" t="s">
        <v>32</v>
      </c>
      <c r="G62" s="2" t="s">
        <v>33</v>
      </c>
      <c r="H62" s="2" t="s">
        <v>10</v>
      </c>
      <c r="I62" s="2" t="s">
        <v>34</v>
      </c>
      <c r="J62" s="2" t="s">
        <v>35</v>
      </c>
      <c r="K62" s="3">
        <v>830.83</v>
      </c>
      <c r="L62" s="3">
        <v>0</v>
      </c>
    </row>
    <row r="63" spans="1:12" ht="20.100000000000001" customHeight="1" x14ac:dyDescent="0.25">
      <c r="A63" s="2" t="s">
        <v>9</v>
      </c>
      <c r="B63" s="2" t="s">
        <v>2</v>
      </c>
      <c r="C63" s="2" t="s">
        <v>75</v>
      </c>
      <c r="D63" s="2" t="s">
        <v>37</v>
      </c>
      <c r="E63" s="2" t="s">
        <v>132</v>
      </c>
      <c r="F63" s="2" t="s">
        <v>87</v>
      </c>
      <c r="G63" s="2" t="s">
        <v>78</v>
      </c>
      <c r="H63" s="2" t="s">
        <v>10</v>
      </c>
      <c r="I63" s="2" t="s">
        <v>34</v>
      </c>
      <c r="J63" s="2" t="s">
        <v>58</v>
      </c>
      <c r="K63" s="3">
        <v>813.36</v>
      </c>
      <c r="L63" s="3">
        <v>0</v>
      </c>
    </row>
    <row r="64" spans="1:12" ht="20.100000000000001" customHeight="1" x14ac:dyDescent="0.25">
      <c r="A64" s="2" t="s">
        <v>15</v>
      </c>
      <c r="B64" s="2" t="s">
        <v>6</v>
      </c>
      <c r="C64" s="2" t="s">
        <v>66</v>
      </c>
      <c r="D64" s="2" t="s">
        <v>63</v>
      </c>
      <c r="E64" s="2" t="s">
        <v>69</v>
      </c>
      <c r="F64" s="2" t="s">
        <v>65</v>
      </c>
      <c r="G64" s="2" t="s">
        <v>45</v>
      </c>
      <c r="H64" s="2" t="s">
        <v>10</v>
      </c>
      <c r="I64" s="2" t="s">
        <v>34</v>
      </c>
      <c r="J64" s="2" t="s">
        <v>41</v>
      </c>
      <c r="K64" s="3">
        <v>806.4</v>
      </c>
      <c r="L64" s="3">
        <v>96.77</v>
      </c>
    </row>
    <row r="65" spans="1:12" ht="20.100000000000001" customHeight="1" x14ac:dyDescent="0.25">
      <c r="A65" s="2" t="s">
        <v>15</v>
      </c>
      <c r="B65" s="2" t="s">
        <v>3</v>
      </c>
      <c r="C65" s="2" t="s">
        <v>133</v>
      </c>
      <c r="D65" s="2" t="s">
        <v>134</v>
      </c>
      <c r="E65" s="2" t="s">
        <v>135</v>
      </c>
      <c r="F65" s="2" t="s">
        <v>136</v>
      </c>
      <c r="G65" s="2" t="s">
        <v>120</v>
      </c>
      <c r="H65" s="2" t="s">
        <v>10</v>
      </c>
      <c r="I65" s="2" t="s">
        <v>34</v>
      </c>
      <c r="J65" s="2" t="s">
        <v>58</v>
      </c>
      <c r="K65" s="3">
        <v>801.05</v>
      </c>
      <c r="L65" s="3">
        <v>96.13</v>
      </c>
    </row>
    <row r="66" spans="1:12" ht="20.100000000000001" customHeight="1" x14ac:dyDescent="0.25">
      <c r="A66" s="2" t="s">
        <v>15</v>
      </c>
      <c r="B66" s="2" t="s">
        <v>5</v>
      </c>
      <c r="C66" s="2" t="s">
        <v>137</v>
      </c>
      <c r="D66" s="2" t="s">
        <v>138</v>
      </c>
      <c r="E66" s="2" t="s">
        <v>139</v>
      </c>
      <c r="F66" s="2" t="s">
        <v>140</v>
      </c>
      <c r="G66" s="2" t="s">
        <v>33</v>
      </c>
      <c r="H66" s="2" t="s">
        <v>10</v>
      </c>
      <c r="I66" s="2" t="s">
        <v>34</v>
      </c>
      <c r="J66" s="2" t="s">
        <v>58</v>
      </c>
      <c r="K66" s="3">
        <v>780</v>
      </c>
      <c r="L66" s="3">
        <v>31.2</v>
      </c>
    </row>
    <row r="67" spans="1:12" ht="20.100000000000001" customHeight="1" x14ac:dyDescent="0.25">
      <c r="A67" s="2" t="s">
        <v>15</v>
      </c>
      <c r="B67" s="2" t="s">
        <v>3</v>
      </c>
      <c r="C67" s="2" t="s">
        <v>133</v>
      </c>
      <c r="D67" s="2" t="s">
        <v>134</v>
      </c>
      <c r="E67" s="2" t="s">
        <v>141</v>
      </c>
      <c r="F67" s="2" t="s">
        <v>136</v>
      </c>
      <c r="G67" s="2" t="s">
        <v>120</v>
      </c>
      <c r="H67" s="2" t="s">
        <v>10</v>
      </c>
      <c r="I67" s="2" t="s">
        <v>34</v>
      </c>
      <c r="J67" s="2" t="s">
        <v>58</v>
      </c>
      <c r="K67" s="3">
        <v>757.87</v>
      </c>
      <c r="L67" s="3">
        <v>90.94</v>
      </c>
    </row>
    <row r="68" spans="1:12" ht="20.100000000000001" customHeight="1" x14ac:dyDescent="0.25">
      <c r="A68" s="2" t="s">
        <v>15</v>
      </c>
      <c r="B68" s="2" t="s">
        <v>6</v>
      </c>
      <c r="C68" s="2" t="s">
        <v>142</v>
      </c>
      <c r="D68" s="2" t="s">
        <v>143</v>
      </c>
      <c r="E68" s="2" t="s">
        <v>144</v>
      </c>
      <c r="F68" s="2" t="s">
        <v>145</v>
      </c>
      <c r="G68" s="2" t="s">
        <v>45</v>
      </c>
      <c r="H68" s="2" t="s">
        <v>10</v>
      </c>
      <c r="I68" s="2" t="s">
        <v>34</v>
      </c>
      <c r="J68" s="2" t="s">
        <v>74</v>
      </c>
      <c r="K68" s="3">
        <v>754.56</v>
      </c>
      <c r="L68" s="3">
        <v>33.700000000000003</v>
      </c>
    </row>
    <row r="69" spans="1:12" ht="20.100000000000001" customHeight="1" x14ac:dyDescent="0.25">
      <c r="A69" s="2" t="s">
        <v>15</v>
      </c>
      <c r="B69" s="2" t="s">
        <v>2</v>
      </c>
      <c r="C69" s="2" t="s">
        <v>66</v>
      </c>
      <c r="D69" s="2" t="s">
        <v>63</v>
      </c>
      <c r="E69" s="2" t="s">
        <v>146</v>
      </c>
      <c r="F69" s="2" t="s">
        <v>65</v>
      </c>
      <c r="G69" s="2" t="s">
        <v>45</v>
      </c>
      <c r="H69" s="2" t="s">
        <v>10</v>
      </c>
      <c r="I69" s="2" t="s">
        <v>34</v>
      </c>
      <c r="J69" s="2" t="s">
        <v>41</v>
      </c>
      <c r="K69" s="3">
        <v>747.6</v>
      </c>
      <c r="L69" s="3">
        <v>89.71</v>
      </c>
    </row>
    <row r="70" spans="1:12" ht="20.100000000000001" customHeight="1" x14ac:dyDescent="0.25">
      <c r="A70" s="2" t="s">
        <v>9</v>
      </c>
      <c r="B70" s="2" t="s">
        <v>2</v>
      </c>
      <c r="C70" s="2" t="s">
        <v>75</v>
      </c>
      <c r="D70" s="2" t="s">
        <v>37</v>
      </c>
      <c r="E70" s="2" t="s">
        <v>147</v>
      </c>
      <c r="F70" s="2" t="s">
        <v>129</v>
      </c>
      <c r="G70" s="2" t="s">
        <v>78</v>
      </c>
      <c r="H70" s="2" t="s">
        <v>10</v>
      </c>
      <c r="I70" s="2" t="s">
        <v>34</v>
      </c>
      <c r="J70" s="2" t="s">
        <v>130</v>
      </c>
      <c r="K70" s="3">
        <v>742.4</v>
      </c>
      <c r="L70" s="3">
        <v>0</v>
      </c>
    </row>
    <row r="71" spans="1:12" ht="20.100000000000001" customHeight="1" x14ac:dyDescent="0.25">
      <c r="A71" s="2" t="s">
        <v>15</v>
      </c>
      <c r="B71" s="2" t="s">
        <v>2</v>
      </c>
      <c r="C71" s="2" t="s">
        <v>111</v>
      </c>
      <c r="D71" s="2" t="s">
        <v>30</v>
      </c>
      <c r="E71" s="2" t="s">
        <v>148</v>
      </c>
      <c r="F71" s="2" t="s">
        <v>149</v>
      </c>
      <c r="G71" s="2" t="s">
        <v>124</v>
      </c>
      <c r="H71" s="2" t="s">
        <v>10</v>
      </c>
      <c r="I71" s="2" t="s">
        <v>34</v>
      </c>
      <c r="J71" s="2" t="s">
        <v>74</v>
      </c>
      <c r="K71" s="3">
        <v>742.12</v>
      </c>
      <c r="L71" s="3">
        <v>89.06</v>
      </c>
    </row>
    <row r="72" spans="1:12" ht="20.100000000000001" customHeight="1" x14ac:dyDescent="0.25">
      <c r="A72" s="2" t="s">
        <v>15</v>
      </c>
      <c r="B72" s="2" t="s">
        <v>5</v>
      </c>
      <c r="C72" s="2" t="s">
        <v>80</v>
      </c>
      <c r="D72" s="2" t="s">
        <v>37</v>
      </c>
      <c r="E72" s="2" t="s">
        <v>95</v>
      </c>
      <c r="F72" s="2" t="s">
        <v>82</v>
      </c>
      <c r="G72" s="2" t="s">
        <v>83</v>
      </c>
      <c r="H72" s="2" t="s">
        <v>10</v>
      </c>
      <c r="I72" s="2" t="s">
        <v>34</v>
      </c>
      <c r="J72" s="2" t="s">
        <v>84</v>
      </c>
      <c r="K72" s="3">
        <v>741.15</v>
      </c>
      <c r="L72" s="3">
        <v>80.87</v>
      </c>
    </row>
    <row r="73" spans="1:12" ht="20.100000000000001" customHeight="1" x14ac:dyDescent="0.25">
      <c r="A73" s="2" t="s">
        <v>15</v>
      </c>
      <c r="B73" s="2" t="s">
        <v>4</v>
      </c>
      <c r="C73" s="2" t="s">
        <v>62</v>
      </c>
      <c r="D73" s="2" t="s">
        <v>63</v>
      </c>
      <c r="E73" s="2" t="s">
        <v>64</v>
      </c>
      <c r="F73" s="2" t="s">
        <v>65</v>
      </c>
      <c r="G73" s="2" t="s">
        <v>45</v>
      </c>
      <c r="H73" s="2" t="s">
        <v>10</v>
      </c>
      <c r="I73" s="2" t="s">
        <v>34</v>
      </c>
      <c r="J73" s="2" t="s">
        <v>41</v>
      </c>
      <c r="K73" s="3">
        <v>739.6</v>
      </c>
      <c r="L73" s="3">
        <v>88.75</v>
      </c>
    </row>
    <row r="74" spans="1:12" ht="20.100000000000001" customHeight="1" x14ac:dyDescent="0.25">
      <c r="A74" s="2" t="s">
        <v>15</v>
      </c>
      <c r="B74" s="2" t="s">
        <v>5</v>
      </c>
      <c r="C74" s="2" t="s">
        <v>71</v>
      </c>
      <c r="D74" s="2" t="s">
        <v>63</v>
      </c>
      <c r="E74" s="2" t="s">
        <v>150</v>
      </c>
      <c r="F74" s="2" t="s">
        <v>110</v>
      </c>
      <c r="G74" s="2" t="s">
        <v>33</v>
      </c>
      <c r="H74" s="2" t="s">
        <v>10</v>
      </c>
      <c r="I74" s="2" t="s">
        <v>34</v>
      </c>
      <c r="J74" s="2" t="s">
        <v>74</v>
      </c>
      <c r="K74" s="3">
        <v>730.66</v>
      </c>
      <c r="L74" s="3">
        <v>29.23</v>
      </c>
    </row>
    <row r="75" spans="1:12" ht="20.100000000000001" customHeight="1" x14ac:dyDescent="0.25">
      <c r="A75" s="2" t="s">
        <v>15</v>
      </c>
      <c r="B75" s="2" t="s">
        <v>5</v>
      </c>
      <c r="C75" s="2" t="s">
        <v>111</v>
      </c>
      <c r="D75" s="2" t="s">
        <v>30</v>
      </c>
      <c r="E75" s="2" t="s">
        <v>151</v>
      </c>
      <c r="F75" s="2" t="s">
        <v>113</v>
      </c>
      <c r="G75" s="2" t="s">
        <v>45</v>
      </c>
      <c r="H75" s="2" t="s">
        <v>10</v>
      </c>
      <c r="I75" s="2" t="s">
        <v>34</v>
      </c>
      <c r="J75" s="2" t="s">
        <v>74</v>
      </c>
      <c r="K75" s="3">
        <v>702.2</v>
      </c>
      <c r="L75" s="3">
        <v>86.37</v>
      </c>
    </row>
    <row r="76" spans="1:12" ht="20.100000000000001" customHeight="1" x14ac:dyDescent="0.25">
      <c r="A76" s="2" t="s">
        <v>15</v>
      </c>
      <c r="B76" s="2" t="s">
        <v>2</v>
      </c>
      <c r="C76" s="2" t="s">
        <v>111</v>
      </c>
      <c r="D76" s="2" t="s">
        <v>30</v>
      </c>
      <c r="E76" s="2" t="s">
        <v>152</v>
      </c>
      <c r="F76" s="2" t="s">
        <v>113</v>
      </c>
      <c r="G76" s="2" t="s">
        <v>45</v>
      </c>
      <c r="H76" s="2" t="s">
        <v>10</v>
      </c>
      <c r="I76" s="2" t="s">
        <v>34</v>
      </c>
      <c r="J76" s="2" t="s">
        <v>74</v>
      </c>
      <c r="K76" s="3">
        <v>702.2</v>
      </c>
      <c r="L76" s="3">
        <v>84.26</v>
      </c>
    </row>
    <row r="77" spans="1:12" ht="20.100000000000001" customHeight="1" x14ac:dyDescent="0.25">
      <c r="A77" s="2" t="s">
        <v>15</v>
      </c>
      <c r="B77" s="2" t="s">
        <v>3</v>
      </c>
      <c r="C77" s="2" t="s">
        <v>80</v>
      </c>
      <c r="D77" s="2" t="s">
        <v>37</v>
      </c>
      <c r="E77" s="2" t="s">
        <v>153</v>
      </c>
      <c r="F77" s="2" t="s">
        <v>82</v>
      </c>
      <c r="G77" s="2" t="s">
        <v>83</v>
      </c>
      <c r="H77" s="2" t="s">
        <v>10</v>
      </c>
      <c r="I77" s="2" t="s">
        <v>34</v>
      </c>
      <c r="J77" s="2" t="s">
        <v>84</v>
      </c>
      <c r="K77" s="3">
        <v>696.6</v>
      </c>
      <c r="L77" s="3">
        <v>76</v>
      </c>
    </row>
    <row r="78" spans="1:12" ht="20.100000000000001" customHeight="1" x14ac:dyDescent="0.25">
      <c r="A78" s="2" t="s">
        <v>15</v>
      </c>
      <c r="B78" s="2" t="s">
        <v>5</v>
      </c>
      <c r="C78" s="2" t="s">
        <v>62</v>
      </c>
      <c r="D78" s="2" t="s">
        <v>63</v>
      </c>
      <c r="E78" s="2" t="s">
        <v>121</v>
      </c>
      <c r="F78" s="2" t="s">
        <v>65</v>
      </c>
      <c r="G78" s="2" t="s">
        <v>45</v>
      </c>
      <c r="H78" s="2" t="s">
        <v>10</v>
      </c>
      <c r="I78" s="2" t="s">
        <v>34</v>
      </c>
      <c r="J78" s="2" t="s">
        <v>41</v>
      </c>
      <c r="K78" s="3">
        <v>684</v>
      </c>
      <c r="L78" s="3">
        <v>82.08</v>
      </c>
    </row>
    <row r="79" spans="1:12" ht="20.100000000000001" customHeight="1" x14ac:dyDescent="0.25">
      <c r="A79" s="2" t="s">
        <v>15</v>
      </c>
      <c r="B79" s="2" t="s">
        <v>5</v>
      </c>
      <c r="C79" s="2" t="s">
        <v>80</v>
      </c>
      <c r="D79" s="2" t="s">
        <v>37</v>
      </c>
      <c r="E79" s="2" t="s">
        <v>154</v>
      </c>
      <c r="F79" s="2" t="s">
        <v>82</v>
      </c>
      <c r="G79" s="2" t="s">
        <v>83</v>
      </c>
      <c r="H79" s="2" t="s">
        <v>10</v>
      </c>
      <c r="I79" s="2" t="s">
        <v>34</v>
      </c>
      <c r="J79" s="2" t="s">
        <v>84</v>
      </c>
      <c r="K79" s="3">
        <v>672.48</v>
      </c>
      <c r="L79" s="3">
        <v>73.36</v>
      </c>
    </row>
    <row r="80" spans="1:12" ht="20.100000000000001" customHeight="1" x14ac:dyDescent="0.25">
      <c r="A80" s="2" t="s">
        <v>15</v>
      </c>
      <c r="B80" s="2" t="s">
        <v>5</v>
      </c>
      <c r="C80" s="2" t="s">
        <v>155</v>
      </c>
      <c r="D80" s="2" t="s">
        <v>30</v>
      </c>
      <c r="E80" s="2" t="s">
        <v>156</v>
      </c>
      <c r="F80" s="2" t="s">
        <v>157</v>
      </c>
      <c r="G80" s="2" t="s">
        <v>33</v>
      </c>
      <c r="H80" s="2" t="s">
        <v>10</v>
      </c>
      <c r="I80" s="2" t="s">
        <v>34</v>
      </c>
      <c r="J80" s="2" t="s">
        <v>41</v>
      </c>
      <c r="K80" s="3">
        <v>648</v>
      </c>
      <c r="L80" s="3">
        <v>0</v>
      </c>
    </row>
    <row r="81" spans="1:12" ht="20.100000000000001" customHeight="1" x14ac:dyDescent="0.25">
      <c r="A81" s="2" t="s">
        <v>15</v>
      </c>
      <c r="B81" s="2" t="s">
        <v>7</v>
      </c>
      <c r="C81" s="2" t="s">
        <v>100</v>
      </c>
      <c r="D81" s="2" t="s">
        <v>37</v>
      </c>
      <c r="E81" s="2" t="s">
        <v>158</v>
      </c>
      <c r="F81" s="2" t="s">
        <v>159</v>
      </c>
      <c r="G81" s="2" t="s">
        <v>78</v>
      </c>
      <c r="H81" s="2" t="s">
        <v>10</v>
      </c>
      <c r="I81" s="2" t="s">
        <v>34</v>
      </c>
      <c r="J81" s="2" t="s">
        <v>35</v>
      </c>
      <c r="K81" s="3">
        <v>645.11</v>
      </c>
      <c r="L81" s="3">
        <v>70.38</v>
      </c>
    </row>
    <row r="82" spans="1:12" ht="20.100000000000001" customHeight="1" x14ac:dyDescent="0.25">
      <c r="A82" s="2" t="s">
        <v>15</v>
      </c>
      <c r="B82" s="2" t="s">
        <v>3</v>
      </c>
      <c r="C82" s="2" t="s">
        <v>133</v>
      </c>
      <c r="D82" s="2" t="s">
        <v>134</v>
      </c>
      <c r="E82" s="2" t="s">
        <v>160</v>
      </c>
      <c r="F82" s="2" t="s">
        <v>136</v>
      </c>
      <c r="G82" s="2" t="s">
        <v>120</v>
      </c>
      <c r="H82" s="2" t="s">
        <v>10</v>
      </c>
      <c r="I82" s="2" t="s">
        <v>34</v>
      </c>
      <c r="J82" s="2" t="s">
        <v>58</v>
      </c>
      <c r="K82" s="3">
        <v>643.08000000000004</v>
      </c>
      <c r="L82" s="3">
        <v>77.17</v>
      </c>
    </row>
    <row r="83" spans="1:12" ht="20.100000000000001" customHeight="1" x14ac:dyDescent="0.25">
      <c r="A83" s="2" t="s">
        <v>15</v>
      </c>
      <c r="B83" s="2" t="s">
        <v>6</v>
      </c>
      <c r="C83" s="2" t="s">
        <v>161</v>
      </c>
      <c r="D83" s="2" t="s">
        <v>63</v>
      </c>
      <c r="E83" s="2" t="s">
        <v>162</v>
      </c>
      <c r="F83" s="2" t="s">
        <v>163</v>
      </c>
      <c r="G83" s="2" t="s">
        <v>33</v>
      </c>
      <c r="H83" s="2" t="s">
        <v>10</v>
      </c>
      <c r="I83" s="2" t="s">
        <v>34</v>
      </c>
      <c r="J83" s="2" t="s">
        <v>58</v>
      </c>
      <c r="K83" s="3">
        <v>639.79999999999995</v>
      </c>
      <c r="L83" s="3">
        <v>27.72</v>
      </c>
    </row>
    <row r="84" spans="1:12" ht="20.100000000000001" customHeight="1" x14ac:dyDescent="0.25">
      <c r="A84" s="2" t="s">
        <v>15</v>
      </c>
      <c r="B84" s="2" t="s">
        <v>4</v>
      </c>
      <c r="C84" s="2" t="s">
        <v>88</v>
      </c>
      <c r="D84" s="2" t="s">
        <v>30</v>
      </c>
      <c r="E84" s="2" t="s">
        <v>164</v>
      </c>
      <c r="F84" s="2" t="s">
        <v>90</v>
      </c>
      <c r="G84" s="2" t="s">
        <v>33</v>
      </c>
      <c r="H84" s="2" t="s">
        <v>10</v>
      </c>
      <c r="I84" s="2" t="s">
        <v>34</v>
      </c>
      <c r="J84" s="2" t="s">
        <v>58</v>
      </c>
      <c r="K84" s="3">
        <v>628</v>
      </c>
      <c r="L84" s="3">
        <v>71.59</v>
      </c>
    </row>
    <row r="85" spans="1:12" ht="20.100000000000001" customHeight="1" x14ac:dyDescent="0.25">
      <c r="A85" s="2" t="s">
        <v>15</v>
      </c>
      <c r="B85" s="2" t="s">
        <v>6</v>
      </c>
      <c r="C85" s="2" t="s">
        <v>29</v>
      </c>
      <c r="D85" s="2" t="s">
        <v>30</v>
      </c>
      <c r="E85" s="2" t="s">
        <v>165</v>
      </c>
      <c r="F85" s="2" t="s">
        <v>166</v>
      </c>
      <c r="G85" s="2" t="s">
        <v>33</v>
      </c>
      <c r="H85" s="2" t="s">
        <v>10</v>
      </c>
      <c r="I85" s="2" t="s">
        <v>34</v>
      </c>
      <c r="J85" s="2" t="s">
        <v>35</v>
      </c>
      <c r="K85" s="3">
        <v>624.36</v>
      </c>
      <c r="L85" s="3">
        <v>0</v>
      </c>
    </row>
    <row r="86" spans="1:12" ht="20.100000000000001" customHeight="1" x14ac:dyDescent="0.25">
      <c r="A86" s="2" t="s">
        <v>15</v>
      </c>
      <c r="B86" s="2" t="s">
        <v>6</v>
      </c>
      <c r="C86" s="2" t="s">
        <v>167</v>
      </c>
      <c r="D86" s="2" t="s">
        <v>37</v>
      </c>
      <c r="E86" s="2" t="s">
        <v>168</v>
      </c>
      <c r="F86" s="2" t="s">
        <v>169</v>
      </c>
      <c r="G86" s="2" t="s">
        <v>83</v>
      </c>
      <c r="H86" s="2" t="s">
        <v>10</v>
      </c>
      <c r="I86" s="2" t="s">
        <v>34</v>
      </c>
      <c r="J86" s="2" t="s">
        <v>51</v>
      </c>
      <c r="K86" s="3">
        <v>605.6</v>
      </c>
      <c r="L86" s="3">
        <v>0</v>
      </c>
    </row>
    <row r="87" spans="1:12" ht="20.100000000000001" customHeight="1" x14ac:dyDescent="0.25">
      <c r="A87" s="2" t="s">
        <v>15</v>
      </c>
      <c r="B87" s="2" t="s">
        <v>6</v>
      </c>
      <c r="C87" s="2" t="s">
        <v>167</v>
      </c>
      <c r="D87" s="2" t="s">
        <v>37</v>
      </c>
      <c r="E87" s="2" t="s">
        <v>168</v>
      </c>
      <c r="F87" s="2" t="s">
        <v>169</v>
      </c>
      <c r="G87" s="2" t="s">
        <v>83</v>
      </c>
      <c r="H87" s="2" t="s">
        <v>10</v>
      </c>
      <c r="I87" s="2" t="s">
        <v>34</v>
      </c>
      <c r="J87" s="2" t="s">
        <v>51</v>
      </c>
      <c r="K87" s="3">
        <v>605.6</v>
      </c>
      <c r="L87" s="3">
        <v>0</v>
      </c>
    </row>
    <row r="88" spans="1:12" ht="20.100000000000001" customHeight="1" x14ac:dyDescent="0.25">
      <c r="A88" s="2" t="s">
        <v>15</v>
      </c>
      <c r="B88" s="2" t="s">
        <v>5</v>
      </c>
      <c r="C88" s="2" t="s">
        <v>111</v>
      </c>
      <c r="D88" s="2" t="s">
        <v>30</v>
      </c>
      <c r="E88" s="2" t="s">
        <v>170</v>
      </c>
      <c r="F88" s="2" t="s">
        <v>102</v>
      </c>
      <c r="G88" s="2" t="s">
        <v>124</v>
      </c>
      <c r="H88" s="2" t="s">
        <v>10</v>
      </c>
      <c r="I88" s="2" t="s">
        <v>34</v>
      </c>
      <c r="J88" s="2" t="s">
        <v>74</v>
      </c>
      <c r="K88" s="3">
        <v>603.52</v>
      </c>
      <c r="L88" s="3">
        <v>74.23</v>
      </c>
    </row>
    <row r="89" spans="1:12" ht="20.100000000000001" customHeight="1" x14ac:dyDescent="0.25">
      <c r="A89" s="2" t="s">
        <v>15</v>
      </c>
      <c r="B89" s="2" t="s">
        <v>6</v>
      </c>
      <c r="C89" s="2" t="s">
        <v>161</v>
      </c>
      <c r="D89" s="2" t="s">
        <v>63</v>
      </c>
      <c r="E89" s="2" t="s">
        <v>171</v>
      </c>
      <c r="F89" s="2" t="s">
        <v>172</v>
      </c>
      <c r="G89" s="2" t="s">
        <v>33</v>
      </c>
      <c r="H89" s="2" t="s">
        <v>10</v>
      </c>
      <c r="I89" s="2" t="s">
        <v>34</v>
      </c>
      <c r="J89" s="2" t="s">
        <v>58</v>
      </c>
      <c r="K89" s="3">
        <v>596</v>
      </c>
      <c r="L89" s="3">
        <v>25.83</v>
      </c>
    </row>
    <row r="90" spans="1:12" ht="20.100000000000001" customHeight="1" x14ac:dyDescent="0.25">
      <c r="A90" s="2" t="s">
        <v>15</v>
      </c>
      <c r="B90" s="2" t="s">
        <v>3</v>
      </c>
      <c r="C90" s="2" t="s">
        <v>80</v>
      </c>
      <c r="D90" s="2" t="s">
        <v>37</v>
      </c>
      <c r="E90" s="2" t="s">
        <v>95</v>
      </c>
      <c r="F90" s="2" t="s">
        <v>82</v>
      </c>
      <c r="G90" s="2" t="s">
        <v>83</v>
      </c>
      <c r="H90" s="2" t="s">
        <v>10</v>
      </c>
      <c r="I90" s="2" t="s">
        <v>34</v>
      </c>
      <c r="J90" s="2" t="s">
        <v>84</v>
      </c>
      <c r="K90" s="3">
        <v>592.91999999999996</v>
      </c>
      <c r="L90" s="3">
        <v>64.69</v>
      </c>
    </row>
    <row r="91" spans="1:12" ht="20.100000000000001" customHeight="1" x14ac:dyDescent="0.25">
      <c r="A91" s="2" t="s">
        <v>15</v>
      </c>
      <c r="B91" s="2" t="s">
        <v>2</v>
      </c>
      <c r="C91" s="2" t="s">
        <v>66</v>
      </c>
      <c r="D91" s="2" t="s">
        <v>63</v>
      </c>
      <c r="E91" s="2" t="s">
        <v>173</v>
      </c>
      <c r="F91" s="2" t="s">
        <v>65</v>
      </c>
      <c r="G91" s="2" t="s">
        <v>45</v>
      </c>
      <c r="H91" s="2" t="s">
        <v>10</v>
      </c>
      <c r="I91" s="2" t="s">
        <v>34</v>
      </c>
      <c r="J91" s="2" t="s">
        <v>41</v>
      </c>
      <c r="K91" s="3">
        <v>576</v>
      </c>
      <c r="L91" s="3">
        <v>69.12</v>
      </c>
    </row>
    <row r="92" spans="1:12" ht="20.100000000000001" customHeight="1" x14ac:dyDescent="0.25">
      <c r="A92" s="2" t="s">
        <v>15</v>
      </c>
      <c r="B92" s="2" t="s">
        <v>6</v>
      </c>
      <c r="C92" s="2" t="s">
        <v>66</v>
      </c>
      <c r="D92" s="2" t="s">
        <v>63</v>
      </c>
      <c r="E92" s="2" t="s">
        <v>174</v>
      </c>
      <c r="F92" s="2" t="s">
        <v>65</v>
      </c>
      <c r="G92" s="2" t="s">
        <v>45</v>
      </c>
      <c r="H92" s="2" t="s">
        <v>10</v>
      </c>
      <c r="I92" s="2" t="s">
        <v>34</v>
      </c>
      <c r="J92" s="2" t="s">
        <v>41</v>
      </c>
      <c r="K92" s="3">
        <v>576</v>
      </c>
      <c r="L92" s="3">
        <v>69.12</v>
      </c>
    </row>
    <row r="93" spans="1:12" ht="20.100000000000001" customHeight="1" x14ac:dyDescent="0.25">
      <c r="A93" s="2" t="s">
        <v>15</v>
      </c>
      <c r="B93" s="2" t="s">
        <v>5</v>
      </c>
      <c r="C93" s="2" t="s">
        <v>66</v>
      </c>
      <c r="D93" s="2" t="s">
        <v>63</v>
      </c>
      <c r="E93" s="2" t="s">
        <v>174</v>
      </c>
      <c r="F93" s="2" t="s">
        <v>65</v>
      </c>
      <c r="G93" s="2" t="s">
        <v>45</v>
      </c>
      <c r="H93" s="2" t="s">
        <v>10</v>
      </c>
      <c r="I93" s="2" t="s">
        <v>34</v>
      </c>
      <c r="J93" s="2" t="s">
        <v>41</v>
      </c>
      <c r="K93" s="3">
        <v>576</v>
      </c>
      <c r="L93" s="3">
        <v>69.12</v>
      </c>
    </row>
    <row r="94" spans="1:12" ht="20.100000000000001" customHeight="1" x14ac:dyDescent="0.25">
      <c r="A94" s="2" t="s">
        <v>15</v>
      </c>
      <c r="B94" s="2" t="s">
        <v>3</v>
      </c>
      <c r="C94" s="2" t="s">
        <v>54</v>
      </c>
      <c r="D94" s="2" t="s">
        <v>55</v>
      </c>
      <c r="E94" s="2" t="s">
        <v>175</v>
      </c>
      <c r="F94" s="2" t="s">
        <v>110</v>
      </c>
      <c r="G94" s="2" t="s">
        <v>33</v>
      </c>
      <c r="H94" s="2" t="s">
        <v>10</v>
      </c>
      <c r="I94" s="2" t="s">
        <v>34</v>
      </c>
      <c r="J94" s="2" t="s">
        <v>74</v>
      </c>
      <c r="K94" s="3">
        <v>573.6</v>
      </c>
      <c r="L94" s="3">
        <v>22.94</v>
      </c>
    </row>
    <row r="95" spans="1:12" ht="20.100000000000001" customHeight="1" x14ac:dyDescent="0.25">
      <c r="A95" s="2" t="s">
        <v>15</v>
      </c>
      <c r="B95" s="2" t="s">
        <v>7</v>
      </c>
      <c r="C95" s="2" t="s">
        <v>117</v>
      </c>
      <c r="D95" s="2" t="s">
        <v>118</v>
      </c>
      <c r="E95" s="2" t="s">
        <v>176</v>
      </c>
      <c r="F95" s="2" t="s">
        <v>115</v>
      </c>
      <c r="G95" s="2" t="s">
        <v>120</v>
      </c>
      <c r="H95" s="2" t="s">
        <v>10</v>
      </c>
      <c r="I95" s="2" t="s">
        <v>34</v>
      </c>
      <c r="J95" s="2" t="s">
        <v>51</v>
      </c>
      <c r="K95" s="3">
        <v>570.04</v>
      </c>
      <c r="L95" s="3">
        <v>68.400000000000006</v>
      </c>
    </row>
    <row r="96" spans="1:12" ht="20.100000000000001" customHeight="1" x14ac:dyDescent="0.25">
      <c r="A96" s="2" t="s">
        <v>15</v>
      </c>
      <c r="B96" s="2" t="s">
        <v>7</v>
      </c>
      <c r="C96" s="2" t="s">
        <v>111</v>
      </c>
      <c r="D96" s="2" t="s">
        <v>30</v>
      </c>
      <c r="E96" s="2" t="s">
        <v>170</v>
      </c>
      <c r="F96" s="2" t="s">
        <v>102</v>
      </c>
      <c r="G96" s="2" t="s">
        <v>124</v>
      </c>
      <c r="H96" s="2" t="s">
        <v>10</v>
      </c>
      <c r="I96" s="2" t="s">
        <v>34</v>
      </c>
      <c r="J96" s="2" t="s">
        <v>74</v>
      </c>
      <c r="K96" s="3">
        <v>567.28</v>
      </c>
      <c r="L96" s="3">
        <v>68.069999999999993</v>
      </c>
    </row>
    <row r="97" spans="1:12" ht="20.100000000000001" customHeight="1" x14ac:dyDescent="0.25">
      <c r="A97" s="2" t="s">
        <v>15</v>
      </c>
      <c r="B97" s="2" t="s">
        <v>7</v>
      </c>
      <c r="C97" s="2" t="s">
        <v>125</v>
      </c>
      <c r="D97" s="2" t="s">
        <v>30</v>
      </c>
      <c r="E97" s="2" t="s">
        <v>177</v>
      </c>
      <c r="F97" s="2" t="s">
        <v>127</v>
      </c>
      <c r="G97" s="2" t="s">
        <v>33</v>
      </c>
      <c r="H97" s="2" t="s">
        <v>10</v>
      </c>
      <c r="I97" s="2" t="s">
        <v>34</v>
      </c>
      <c r="J97" s="2" t="s">
        <v>58</v>
      </c>
      <c r="K97" s="3">
        <v>560.20000000000005</v>
      </c>
      <c r="L97" s="3">
        <v>22.41</v>
      </c>
    </row>
    <row r="98" spans="1:12" ht="20.100000000000001" customHeight="1" x14ac:dyDescent="0.25">
      <c r="A98" s="2" t="s">
        <v>15</v>
      </c>
      <c r="B98" s="2" t="s">
        <v>6</v>
      </c>
      <c r="C98" s="2" t="s">
        <v>167</v>
      </c>
      <c r="D98" s="2" t="s">
        <v>37</v>
      </c>
      <c r="E98" s="2" t="s">
        <v>178</v>
      </c>
      <c r="F98" s="2" t="s">
        <v>115</v>
      </c>
      <c r="G98" s="2" t="s">
        <v>83</v>
      </c>
      <c r="H98" s="2" t="s">
        <v>10</v>
      </c>
      <c r="I98" s="2" t="s">
        <v>34</v>
      </c>
      <c r="J98" s="2" t="s">
        <v>51</v>
      </c>
      <c r="K98" s="3">
        <v>558.6</v>
      </c>
      <c r="L98" s="3">
        <v>60.94</v>
      </c>
    </row>
    <row r="99" spans="1:12" ht="20.100000000000001" customHeight="1" x14ac:dyDescent="0.25">
      <c r="A99" s="2" t="s">
        <v>15</v>
      </c>
      <c r="B99" s="2" t="s">
        <v>6</v>
      </c>
      <c r="C99" s="2" t="s">
        <v>167</v>
      </c>
      <c r="D99" s="2" t="s">
        <v>37</v>
      </c>
      <c r="E99" s="2" t="s">
        <v>178</v>
      </c>
      <c r="F99" s="2" t="s">
        <v>115</v>
      </c>
      <c r="G99" s="2" t="s">
        <v>83</v>
      </c>
      <c r="H99" s="2" t="s">
        <v>10</v>
      </c>
      <c r="I99" s="2" t="s">
        <v>34</v>
      </c>
      <c r="J99" s="2" t="s">
        <v>51</v>
      </c>
      <c r="K99" s="3">
        <v>558.6</v>
      </c>
      <c r="L99" s="3">
        <v>60.94</v>
      </c>
    </row>
    <row r="100" spans="1:12" ht="20.100000000000001" customHeight="1" x14ac:dyDescent="0.25">
      <c r="A100" s="2" t="s">
        <v>15</v>
      </c>
      <c r="B100" s="2" t="s">
        <v>7</v>
      </c>
      <c r="C100" s="2" t="s">
        <v>62</v>
      </c>
      <c r="D100" s="2" t="s">
        <v>63</v>
      </c>
      <c r="E100" s="2" t="s">
        <v>64</v>
      </c>
      <c r="F100" s="2" t="s">
        <v>65</v>
      </c>
      <c r="G100" s="2" t="s">
        <v>45</v>
      </c>
      <c r="H100" s="2" t="s">
        <v>10</v>
      </c>
      <c r="I100" s="2" t="s">
        <v>34</v>
      </c>
      <c r="J100" s="2" t="s">
        <v>41</v>
      </c>
      <c r="K100" s="3">
        <v>554.70000000000005</v>
      </c>
      <c r="L100" s="3">
        <v>66.56</v>
      </c>
    </row>
    <row r="101" spans="1:12" ht="20.100000000000001" customHeight="1" x14ac:dyDescent="0.25">
      <c r="A101" s="2" t="s">
        <v>15</v>
      </c>
      <c r="B101" s="2" t="s">
        <v>2</v>
      </c>
      <c r="C101" s="2" t="s">
        <v>122</v>
      </c>
      <c r="D101" s="2" t="s">
        <v>30</v>
      </c>
      <c r="E101" s="2" t="s">
        <v>179</v>
      </c>
      <c r="F101" s="2" t="s">
        <v>32</v>
      </c>
      <c r="G101" s="2" t="s">
        <v>124</v>
      </c>
      <c r="H101" s="2" t="s">
        <v>10</v>
      </c>
      <c r="I101" s="2" t="s">
        <v>34</v>
      </c>
      <c r="J101" s="2" t="s">
        <v>41</v>
      </c>
      <c r="K101" s="3">
        <v>551.20000000000005</v>
      </c>
      <c r="L101" s="3">
        <v>0</v>
      </c>
    </row>
    <row r="102" spans="1:12" ht="20.100000000000001" customHeight="1" x14ac:dyDescent="0.25">
      <c r="A102" s="2" t="s">
        <v>15</v>
      </c>
      <c r="B102" s="2" t="s">
        <v>2</v>
      </c>
      <c r="C102" s="2" t="s">
        <v>122</v>
      </c>
      <c r="D102" s="2" t="s">
        <v>30</v>
      </c>
      <c r="E102" s="2" t="s">
        <v>179</v>
      </c>
      <c r="F102" s="2" t="s">
        <v>32</v>
      </c>
      <c r="G102" s="2" t="s">
        <v>124</v>
      </c>
      <c r="H102" s="2" t="s">
        <v>10</v>
      </c>
      <c r="I102" s="2" t="s">
        <v>34</v>
      </c>
      <c r="J102" s="2" t="s">
        <v>41</v>
      </c>
      <c r="K102" s="3">
        <v>551.20000000000005</v>
      </c>
      <c r="L102" s="3">
        <v>0</v>
      </c>
    </row>
    <row r="103" spans="1:12" ht="20.100000000000001" customHeight="1" x14ac:dyDescent="0.25">
      <c r="A103" s="2" t="s">
        <v>15</v>
      </c>
      <c r="B103" s="2" t="s">
        <v>2</v>
      </c>
      <c r="C103" s="2" t="s">
        <v>122</v>
      </c>
      <c r="D103" s="2" t="s">
        <v>30</v>
      </c>
      <c r="E103" s="2" t="s">
        <v>179</v>
      </c>
      <c r="F103" s="2" t="s">
        <v>32</v>
      </c>
      <c r="G103" s="2" t="s">
        <v>124</v>
      </c>
      <c r="H103" s="2" t="s">
        <v>10</v>
      </c>
      <c r="I103" s="2" t="s">
        <v>34</v>
      </c>
      <c r="J103" s="2" t="s">
        <v>41</v>
      </c>
      <c r="K103" s="3">
        <v>551.20000000000005</v>
      </c>
      <c r="L103" s="3">
        <v>0</v>
      </c>
    </row>
    <row r="104" spans="1:12" ht="20.100000000000001" customHeight="1" x14ac:dyDescent="0.25">
      <c r="A104" s="2" t="s">
        <v>15</v>
      </c>
      <c r="B104" s="2" t="s">
        <v>7</v>
      </c>
      <c r="C104" s="2" t="s">
        <v>111</v>
      </c>
      <c r="D104" s="2" t="s">
        <v>30</v>
      </c>
      <c r="E104" s="2" t="s">
        <v>180</v>
      </c>
      <c r="F104" s="2" t="s">
        <v>181</v>
      </c>
      <c r="G104" s="2" t="s">
        <v>45</v>
      </c>
      <c r="H104" s="2" t="s">
        <v>10</v>
      </c>
      <c r="I104" s="2" t="s">
        <v>34</v>
      </c>
      <c r="J104" s="2" t="s">
        <v>74</v>
      </c>
      <c r="K104" s="3">
        <v>527.04</v>
      </c>
      <c r="L104" s="3">
        <v>63.24</v>
      </c>
    </row>
    <row r="105" spans="1:12" ht="20.100000000000001" customHeight="1" x14ac:dyDescent="0.25">
      <c r="A105" s="2" t="s">
        <v>9</v>
      </c>
      <c r="B105" s="2" t="s">
        <v>2</v>
      </c>
      <c r="C105" s="2" t="s">
        <v>75</v>
      </c>
      <c r="D105" s="2" t="s">
        <v>37</v>
      </c>
      <c r="E105" s="2" t="s">
        <v>182</v>
      </c>
      <c r="F105" s="2" t="s">
        <v>87</v>
      </c>
      <c r="G105" s="2" t="s">
        <v>78</v>
      </c>
      <c r="H105" s="2" t="s">
        <v>10</v>
      </c>
      <c r="I105" s="2" t="s">
        <v>34</v>
      </c>
      <c r="J105" s="2" t="s">
        <v>58</v>
      </c>
      <c r="K105" s="3">
        <v>526.4</v>
      </c>
      <c r="L105" s="3">
        <v>0</v>
      </c>
    </row>
    <row r="106" spans="1:12" ht="20.100000000000001" customHeight="1" x14ac:dyDescent="0.25">
      <c r="A106" s="2" t="s">
        <v>15</v>
      </c>
      <c r="B106" s="2" t="s">
        <v>7</v>
      </c>
      <c r="C106" s="2" t="s">
        <v>80</v>
      </c>
      <c r="D106" s="2" t="s">
        <v>37</v>
      </c>
      <c r="E106" s="2" t="s">
        <v>183</v>
      </c>
      <c r="F106" s="2" t="s">
        <v>82</v>
      </c>
      <c r="G106" s="2" t="s">
        <v>83</v>
      </c>
      <c r="H106" s="2" t="s">
        <v>10</v>
      </c>
      <c r="I106" s="2" t="s">
        <v>34</v>
      </c>
      <c r="J106" s="2" t="s">
        <v>84</v>
      </c>
      <c r="K106" s="3">
        <v>519.21</v>
      </c>
      <c r="L106" s="3">
        <v>56.64</v>
      </c>
    </row>
    <row r="107" spans="1:12" ht="20.100000000000001" customHeight="1" x14ac:dyDescent="0.25">
      <c r="A107" s="2" t="s">
        <v>15</v>
      </c>
      <c r="B107" s="2" t="s">
        <v>7</v>
      </c>
      <c r="C107" s="2" t="s">
        <v>184</v>
      </c>
      <c r="D107" s="2" t="s">
        <v>55</v>
      </c>
      <c r="E107" s="2" t="s">
        <v>185</v>
      </c>
      <c r="F107" s="2" t="s">
        <v>186</v>
      </c>
      <c r="G107" s="2" t="s">
        <v>45</v>
      </c>
      <c r="H107" s="2" t="s">
        <v>10</v>
      </c>
      <c r="I107" s="2" t="s">
        <v>34</v>
      </c>
      <c r="J107" s="2" t="s">
        <v>58</v>
      </c>
      <c r="K107" s="3">
        <v>507.4</v>
      </c>
      <c r="L107" s="3">
        <v>61.92</v>
      </c>
    </row>
    <row r="108" spans="1:12" ht="20.100000000000001" customHeight="1" x14ac:dyDescent="0.25">
      <c r="A108" s="2" t="s">
        <v>15</v>
      </c>
      <c r="B108" s="2" t="s">
        <v>6</v>
      </c>
      <c r="C108" s="2" t="s">
        <v>161</v>
      </c>
      <c r="D108" s="2" t="s">
        <v>63</v>
      </c>
      <c r="E108" s="2" t="s">
        <v>187</v>
      </c>
      <c r="F108" s="2" t="s">
        <v>172</v>
      </c>
      <c r="G108" s="2" t="s">
        <v>33</v>
      </c>
      <c r="H108" s="2" t="s">
        <v>10</v>
      </c>
      <c r="I108" s="2" t="s">
        <v>34</v>
      </c>
      <c r="J108" s="2" t="s">
        <v>58</v>
      </c>
      <c r="K108" s="3">
        <v>500</v>
      </c>
      <c r="L108" s="3">
        <v>21.66</v>
      </c>
    </row>
    <row r="109" spans="1:12" ht="20.100000000000001" customHeight="1" x14ac:dyDescent="0.25">
      <c r="A109" s="2" t="s">
        <v>15</v>
      </c>
      <c r="B109" s="2" t="s">
        <v>3</v>
      </c>
      <c r="C109" s="2" t="s">
        <v>54</v>
      </c>
      <c r="D109" s="2" t="s">
        <v>55</v>
      </c>
      <c r="E109" s="2" t="s">
        <v>188</v>
      </c>
      <c r="F109" s="2" t="s">
        <v>73</v>
      </c>
      <c r="G109" s="2" t="s">
        <v>45</v>
      </c>
      <c r="H109" s="2" t="s">
        <v>10</v>
      </c>
      <c r="I109" s="2" t="s">
        <v>34</v>
      </c>
      <c r="J109" s="2" t="s">
        <v>74</v>
      </c>
      <c r="K109" s="3">
        <v>492.96</v>
      </c>
      <c r="L109" s="3">
        <v>59.16</v>
      </c>
    </row>
    <row r="110" spans="1:12" ht="20.100000000000001" customHeight="1" x14ac:dyDescent="0.25">
      <c r="A110" s="2" t="s">
        <v>15</v>
      </c>
      <c r="B110" s="2" t="s">
        <v>5</v>
      </c>
      <c r="C110" s="2" t="s">
        <v>111</v>
      </c>
      <c r="D110" s="2" t="s">
        <v>30</v>
      </c>
      <c r="E110" s="2" t="s">
        <v>112</v>
      </c>
      <c r="F110" s="2" t="s">
        <v>113</v>
      </c>
      <c r="G110" s="2" t="s">
        <v>45</v>
      </c>
      <c r="H110" s="2" t="s">
        <v>10</v>
      </c>
      <c r="I110" s="2" t="s">
        <v>34</v>
      </c>
      <c r="J110" s="2" t="s">
        <v>74</v>
      </c>
      <c r="K110" s="3">
        <v>484.92</v>
      </c>
      <c r="L110" s="3">
        <v>59.64</v>
      </c>
    </row>
    <row r="111" spans="1:12" ht="20.100000000000001" customHeight="1" x14ac:dyDescent="0.25">
      <c r="A111" s="2" t="s">
        <v>15</v>
      </c>
      <c r="B111" s="2" t="s">
        <v>4</v>
      </c>
      <c r="C111" s="2" t="s">
        <v>111</v>
      </c>
      <c r="D111" s="2" t="s">
        <v>30</v>
      </c>
      <c r="E111" s="2" t="s">
        <v>112</v>
      </c>
      <c r="F111" s="2" t="s">
        <v>113</v>
      </c>
      <c r="G111" s="2" t="s">
        <v>45</v>
      </c>
      <c r="H111" s="2" t="s">
        <v>10</v>
      </c>
      <c r="I111" s="2" t="s">
        <v>34</v>
      </c>
      <c r="J111" s="2" t="s">
        <v>74</v>
      </c>
      <c r="K111" s="3">
        <v>484.92</v>
      </c>
      <c r="L111" s="3">
        <v>61</v>
      </c>
    </row>
    <row r="112" spans="1:12" ht="20.100000000000001" customHeight="1" x14ac:dyDescent="0.25">
      <c r="A112" s="2" t="s">
        <v>15</v>
      </c>
      <c r="B112" s="2" t="s">
        <v>2</v>
      </c>
      <c r="C112" s="2" t="s">
        <v>111</v>
      </c>
      <c r="D112" s="2" t="s">
        <v>30</v>
      </c>
      <c r="E112" s="2" t="s">
        <v>112</v>
      </c>
      <c r="F112" s="2" t="s">
        <v>113</v>
      </c>
      <c r="G112" s="2" t="s">
        <v>45</v>
      </c>
      <c r="H112" s="2" t="s">
        <v>10</v>
      </c>
      <c r="I112" s="2" t="s">
        <v>34</v>
      </c>
      <c r="J112" s="2" t="s">
        <v>74</v>
      </c>
      <c r="K112" s="3">
        <v>484.92</v>
      </c>
      <c r="L112" s="3">
        <v>58.19</v>
      </c>
    </row>
    <row r="113" spans="1:12" ht="20.100000000000001" customHeight="1" x14ac:dyDescent="0.25">
      <c r="A113" s="2" t="s">
        <v>9</v>
      </c>
      <c r="B113" s="2" t="s">
        <v>2</v>
      </c>
      <c r="C113" s="2" t="s">
        <v>75</v>
      </c>
      <c r="D113" s="2" t="s">
        <v>37</v>
      </c>
      <c r="E113" s="2" t="s">
        <v>189</v>
      </c>
      <c r="F113" s="2" t="s">
        <v>190</v>
      </c>
      <c r="G113" s="2" t="s">
        <v>78</v>
      </c>
      <c r="H113" s="2" t="s">
        <v>10</v>
      </c>
      <c r="I113" s="2" t="s">
        <v>34</v>
      </c>
      <c r="J113" s="2" t="s">
        <v>74</v>
      </c>
      <c r="K113" s="3">
        <v>473</v>
      </c>
      <c r="L113" s="3">
        <v>0</v>
      </c>
    </row>
    <row r="114" spans="1:12" ht="20.100000000000001" customHeight="1" x14ac:dyDescent="0.25">
      <c r="A114" s="2" t="s">
        <v>15</v>
      </c>
      <c r="B114" s="2" t="s">
        <v>6</v>
      </c>
      <c r="C114" s="2" t="s">
        <v>167</v>
      </c>
      <c r="D114" s="2" t="s">
        <v>37</v>
      </c>
      <c r="E114" s="2" t="s">
        <v>191</v>
      </c>
      <c r="F114" s="2" t="s">
        <v>192</v>
      </c>
      <c r="G114" s="2" t="s">
        <v>78</v>
      </c>
      <c r="H114" s="2" t="s">
        <v>10</v>
      </c>
      <c r="I114" s="2" t="s">
        <v>34</v>
      </c>
      <c r="J114" s="2" t="s">
        <v>58</v>
      </c>
      <c r="K114" s="3">
        <v>468</v>
      </c>
      <c r="L114" s="3">
        <v>51.06</v>
      </c>
    </row>
    <row r="115" spans="1:12" ht="20.100000000000001" customHeight="1" x14ac:dyDescent="0.25">
      <c r="A115" s="2" t="s">
        <v>15</v>
      </c>
      <c r="B115" s="2" t="s">
        <v>2</v>
      </c>
      <c r="C115" s="2" t="s">
        <v>111</v>
      </c>
      <c r="D115" s="2" t="s">
        <v>30</v>
      </c>
      <c r="E115" s="2" t="s">
        <v>193</v>
      </c>
      <c r="F115" s="2" t="s">
        <v>149</v>
      </c>
      <c r="G115" s="2" t="s">
        <v>124</v>
      </c>
      <c r="H115" s="2" t="s">
        <v>10</v>
      </c>
      <c r="I115" s="2" t="s">
        <v>34</v>
      </c>
      <c r="J115" s="2" t="s">
        <v>74</v>
      </c>
      <c r="K115" s="3">
        <v>467.84</v>
      </c>
      <c r="L115" s="3">
        <v>56.15</v>
      </c>
    </row>
    <row r="116" spans="1:12" ht="20.100000000000001" customHeight="1" x14ac:dyDescent="0.25">
      <c r="A116" s="2" t="s">
        <v>15</v>
      </c>
      <c r="B116" s="2" t="s">
        <v>5</v>
      </c>
      <c r="C116" s="2" t="s">
        <v>137</v>
      </c>
      <c r="D116" s="2" t="s">
        <v>138</v>
      </c>
      <c r="E116" s="2" t="s">
        <v>194</v>
      </c>
      <c r="F116" s="2" t="s">
        <v>195</v>
      </c>
      <c r="G116" s="2" t="s">
        <v>45</v>
      </c>
      <c r="H116" s="2" t="s">
        <v>10</v>
      </c>
      <c r="I116" s="2" t="s">
        <v>34</v>
      </c>
      <c r="J116" s="2" t="s">
        <v>58</v>
      </c>
      <c r="K116" s="3">
        <v>456</v>
      </c>
      <c r="L116" s="3">
        <v>54.72</v>
      </c>
    </row>
    <row r="117" spans="1:12" ht="20.100000000000001" customHeight="1" x14ac:dyDescent="0.25">
      <c r="A117" s="2" t="s">
        <v>15</v>
      </c>
      <c r="B117" s="2" t="s">
        <v>7</v>
      </c>
      <c r="C117" s="2" t="s">
        <v>96</v>
      </c>
      <c r="D117" s="2" t="s">
        <v>63</v>
      </c>
      <c r="E117" s="2" t="s">
        <v>196</v>
      </c>
      <c r="F117" s="2" t="s">
        <v>163</v>
      </c>
      <c r="G117" s="2" t="s">
        <v>33</v>
      </c>
      <c r="H117" s="2" t="s">
        <v>10</v>
      </c>
      <c r="I117" s="2" t="s">
        <v>34</v>
      </c>
      <c r="J117" s="2" t="s">
        <v>46</v>
      </c>
      <c r="K117" s="3">
        <v>454.4</v>
      </c>
      <c r="L117" s="3">
        <v>18.18</v>
      </c>
    </row>
    <row r="118" spans="1:12" ht="20.100000000000001" customHeight="1" x14ac:dyDescent="0.25">
      <c r="A118" s="2" t="s">
        <v>15</v>
      </c>
      <c r="B118" s="2" t="s">
        <v>7</v>
      </c>
      <c r="C118" s="2" t="s">
        <v>111</v>
      </c>
      <c r="D118" s="2" t="s">
        <v>30</v>
      </c>
      <c r="E118" s="2" t="s">
        <v>193</v>
      </c>
      <c r="F118" s="2" t="s">
        <v>149</v>
      </c>
      <c r="G118" s="2" t="s">
        <v>124</v>
      </c>
      <c r="H118" s="2" t="s">
        <v>10</v>
      </c>
      <c r="I118" s="2" t="s">
        <v>34</v>
      </c>
      <c r="J118" s="2" t="s">
        <v>74</v>
      </c>
      <c r="K118" s="3">
        <v>449.32</v>
      </c>
      <c r="L118" s="3">
        <v>53.92</v>
      </c>
    </row>
    <row r="119" spans="1:12" ht="20.100000000000001" customHeight="1" x14ac:dyDescent="0.25">
      <c r="A119" s="2" t="s">
        <v>15</v>
      </c>
      <c r="B119" s="2" t="s">
        <v>2</v>
      </c>
      <c r="C119" s="2" t="s">
        <v>100</v>
      </c>
      <c r="D119" s="2" t="s">
        <v>37</v>
      </c>
      <c r="E119" s="2" t="s">
        <v>116</v>
      </c>
      <c r="F119" s="2" t="s">
        <v>115</v>
      </c>
      <c r="G119" s="2" t="s">
        <v>83</v>
      </c>
      <c r="H119" s="2" t="s">
        <v>10</v>
      </c>
      <c r="I119" s="2" t="s">
        <v>34</v>
      </c>
      <c r="J119" s="2" t="s">
        <v>51</v>
      </c>
      <c r="K119" s="3">
        <v>445.6</v>
      </c>
      <c r="L119" s="3">
        <v>89.12</v>
      </c>
    </row>
    <row r="120" spans="1:12" ht="20.100000000000001" customHeight="1" x14ac:dyDescent="0.25">
      <c r="A120" s="2" t="s">
        <v>15</v>
      </c>
      <c r="B120" s="2" t="s">
        <v>5</v>
      </c>
      <c r="C120" s="2" t="s">
        <v>71</v>
      </c>
      <c r="D120" s="2" t="s">
        <v>63</v>
      </c>
      <c r="E120" s="2" t="s">
        <v>197</v>
      </c>
      <c r="F120" s="2" t="s">
        <v>73</v>
      </c>
      <c r="G120" s="2" t="s">
        <v>33</v>
      </c>
      <c r="H120" s="2" t="s">
        <v>10</v>
      </c>
      <c r="I120" s="2" t="s">
        <v>34</v>
      </c>
      <c r="J120" s="2" t="s">
        <v>74</v>
      </c>
      <c r="K120" s="3">
        <v>444.47</v>
      </c>
      <c r="L120" s="3">
        <v>17.78</v>
      </c>
    </row>
    <row r="121" spans="1:12" ht="20.100000000000001" customHeight="1" x14ac:dyDescent="0.25">
      <c r="A121" s="2" t="s">
        <v>15</v>
      </c>
      <c r="B121" s="2" t="s">
        <v>2</v>
      </c>
      <c r="C121" s="2" t="s">
        <v>100</v>
      </c>
      <c r="D121" s="2" t="s">
        <v>37</v>
      </c>
      <c r="E121" s="2" t="s">
        <v>198</v>
      </c>
      <c r="F121" s="2" t="s">
        <v>113</v>
      </c>
      <c r="G121" s="2" t="s">
        <v>78</v>
      </c>
      <c r="H121" s="2" t="s">
        <v>10</v>
      </c>
      <c r="I121" s="2" t="s">
        <v>34</v>
      </c>
      <c r="J121" s="2" t="s">
        <v>74</v>
      </c>
      <c r="K121" s="3">
        <v>444.15</v>
      </c>
      <c r="L121" s="3">
        <v>48.46</v>
      </c>
    </row>
    <row r="122" spans="1:12" ht="20.100000000000001" customHeight="1" x14ac:dyDescent="0.25">
      <c r="A122" s="2" t="s">
        <v>15</v>
      </c>
      <c r="B122" s="2" t="s">
        <v>5</v>
      </c>
      <c r="C122" s="2" t="s">
        <v>111</v>
      </c>
      <c r="D122" s="2" t="s">
        <v>30</v>
      </c>
      <c r="E122" s="2" t="s">
        <v>199</v>
      </c>
      <c r="F122" s="2" t="s">
        <v>200</v>
      </c>
      <c r="G122" s="2" t="s">
        <v>45</v>
      </c>
      <c r="H122" s="2" t="s">
        <v>10</v>
      </c>
      <c r="I122" s="2" t="s">
        <v>34</v>
      </c>
      <c r="J122" s="2" t="s">
        <v>58</v>
      </c>
      <c r="K122" s="3">
        <v>437.32</v>
      </c>
      <c r="L122" s="3">
        <v>53.79</v>
      </c>
    </row>
    <row r="123" spans="1:12" ht="20.100000000000001" customHeight="1" x14ac:dyDescent="0.25">
      <c r="A123" s="2" t="s">
        <v>15</v>
      </c>
      <c r="B123" s="2" t="s">
        <v>4</v>
      </c>
      <c r="C123" s="2" t="s">
        <v>201</v>
      </c>
      <c r="D123" s="2" t="s">
        <v>138</v>
      </c>
      <c r="E123" s="2" t="s">
        <v>202</v>
      </c>
      <c r="F123" s="2" t="s">
        <v>203</v>
      </c>
      <c r="G123" s="2" t="s">
        <v>45</v>
      </c>
      <c r="H123" s="2" t="s">
        <v>10</v>
      </c>
      <c r="I123" s="2" t="s">
        <v>34</v>
      </c>
      <c r="J123" s="2" t="s">
        <v>58</v>
      </c>
      <c r="K123" s="3">
        <v>435.2</v>
      </c>
      <c r="L123" s="3">
        <v>52.22</v>
      </c>
    </row>
    <row r="124" spans="1:12" ht="20.100000000000001" customHeight="1" x14ac:dyDescent="0.25">
      <c r="A124" s="2" t="s">
        <v>15</v>
      </c>
      <c r="B124" s="2" t="s">
        <v>4</v>
      </c>
      <c r="C124" s="2" t="s">
        <v>201</v>
      </c>
      <c r="D124" s="2" t="s">
        <v>138</v>
      </c>
      <c r="E124" s="2" t="s">
        <v>204</v>
      </c>
      <c r="F124" s="2" t="s">
        <v>203</v>
      </c>
      <c r="G124" s="2" t="s">
        <v>45</v>
      </c>
      <c r="H124" s="2" t="s">
        <v>10</v>
      </c>
      <c r="I124" s="2" t="s">
        <v>34</v>
      </c>
      <c r="J124" s="2" t="s">
        <v>58</v>
      </c>
      <c r="K124" s="3">
        <v>435.2</v>
      </c>
      <c r="L124" s="3">
        <v>52.22</v>
      </c>
    </row>
    <row r="125" spans="1:12" ht="20.100000000000001" customHeight="1" x14ac:dyDescent="0.25">
      <c r="A125" s="2" t="s">
        <v>15</v>
      </c>
      <c r="B125" s="2" t="s">
        <v>4</v>
      </c>
      <c r="C125" s="2" t="s">
        <v>111</v>
      </c>
      <c r="D125" s="2" t="s">
        <v>30</v>
      </c>
      <c r="E125" s="2" t="s">
        <v>205</v>
      </c>
      <c r="F125" s="2" t="s">
        <v>206</v>
      </c>
      <c r="G125" s="2" t="s">
        <v>45</v>
      </c>
      <c r="H125" s="2" t="s">
        <v>10</v>
      </c>
      <c r="I125" s="2" t="s">
        <v>34</v>
      </c>
      <c r="J125" s="2" t="s">
        <v>58</v>
      </c>
      <c r="K125" s="3">
        <v>422.6</v>
      </c>
      <c r="L125" s="3">
        <v>53.17</v>
      </c>
    </row>
    <row r="126" spans="1:12" ht="20.100000000000001" customHeight="1" x14ac:dyDescent="0.25">
      <c r="A126" s="2" t="s">
        <v>15</v>
      </c>
      <c r="B126" s="2" t="s">
        <v>5</v>
      </c>
      <c r="C126" s="2" t="s">
        <v>71</v>
      </c>
      <c r="D126" s="2" t="s">
        <v>63</v>
      </c>
      <c r="E126" s="2" t="s">
        <v>207</v>
      </c>
      <c r="F126" s="2" t="s">
        <v>110</v>
      </c>
      <c r="G126" s="2" t="s">
        <v>33</v>
      </c>
      <c r="H126" s="2" t="s">
        <v>10</v>
      </c>
      <c r="I126" s="2" t="s">
        <v>34</v>
      </c>
      <c r="J126" s="2" t="s">
        <v>74</v>
      </c>
      <c r="K126" s="3">
        <v>420.96</v>
      </c>
      <c r="L126" s="3">
        <v>16.84</v>
      </c>
    </row>
    <row r="127" spans="1:12" ht="20.100000000000001" customHeight="1" x14ac:dyDescent="0.25">
      <c r="A127" s="2" t="s">
        <v>15</v>
      </c>
      <c r="B127" s="2" t="s">
        <v>6</v>
      </c>
      <c r="C127" s="2" t="s">
        <v>96</v>
      </c>
      <c r="D127" s="2" t="s">
        <v>63</v>
      </c>
      <c r="E127" s="2" t="s">
        <v>208</v>
      </c>
      <c r="F127" s="2" t="s">
        <v>163</v>
      </c>
      <c r="G127" s="2" t="s">
        <v>33</v>
      </c>
      <c r="H127" s="2" t="s">
        <v>10</v>
      </c>
      <c r="I127" s="2" t="s">
        <v>34</v>
      </c>
      <c r="J127" s="2" t="s">
        <v>58</v>
      </c>
      <c r="K127" s="3">
        <v>419.82</v>
      </c>
      <c r="L127" s="3">
        <v>16.79</v>
      </c>
    </row>
    <row r="128" spans="1:12" ht="20.100000000000001" customHeight="1" x14ac:dyDescent="0.25">
      <c r="A128" s="2" t="s">
        <v>15</v>
      </c>
      <c r="B128" s="2" t="s">
        <v>6</v>
      </c>
      <c r="C128" s="2" t="s">
        <v>161</v>
      </c>
      <c r="D128" s="2" t="s">
        <v>63</v>
      </c>
      <c r="E128" s="2" t="s">
        <v>209</v>
      </c>
      <c r="F128" s="2" t="s">
        <v>163</v>
      </c>
      <c r="G128" s="2" t="s">
        <v>33</v>
      </c>
      <c r="H128" s="2" t="s">
        <v>10</v>
      </c>
      <c r="I128" s="2" t="s">
        <v>34</v>
      </c>
      <c r="J128" s="2" t="s">
        <v>58</v>
      </c>
      <c r="K128" s="3">
        <v>418.05</v>
      </c>
      <c r="L128" s="3">
        <v>18.12</v>
      </c>
    </row>
    <row r="129" spans="1:12" ht="20.100000000000001" customHeight="1" x14ac:dyDescent="0.25">
      <c r="A129" s="2" t="s">
        <v>15</v>
      </c>
      <c r="B129" s="2" t="s">
        <v>6</v>
      </c>
      <c r="C129" s="2" t="s">
        <v>210</v>
      </c>
      <c r="D129" s="2" t="s">
        <v>134</v>
      </c>
      <c r="E129" s="2" t="s">
        <v>211</v>
      </c>
      <c r="F129" s="2" t="s">
        <v>212</v>
      </c>
      <c r="G129" s="2" t="s">
        <v>120</v>
      </c>
      <c r="H129" s="2" t="s">
        <v>10</v>
      </c>
      <c r="I129" s="2" t="s">
        <v>34</v>
      </c>
      <c r="J129" s="2" t="s">
        <v>35</v>
      </c>
      <c r="K129" s="3">
        <v>414.89</v>
      </c>
      <c r="L129" s="3">
        <v>49.94</v>
      </c>
    </row>
    <row r="130" spans="1:12" ht="20.100000000000001" customHeight="1" x14ac:dyDescent="0.25">
      <c r="A130" s="2" t="s">
        <v>15</v>
      </c>
      <c r="B130" s="2" t="s">
        <v>3</v>
      </c>
      <c r="C130" s="2" t="s">
        <v>106</v>
      </c>
      <c r="D130" s="2" t="s">
        <v>30</v>
      </c>
      <c r="E130" s="2" t="s">
        <v>213</v>
      </c>
      <c r="F130" s="2" t="s">
        <v>145</v>
      </c>
      <c r="G130" s="2" t="s">
        <v>33</v>
      </c>
      <c r="H130" s="2" t="s">
        <v>10</v>
      </c>
      <c r="I130" s="2" t="s">
        <v>34</v>
      </c>
      <c r="J130" s="2" t="s">
        <v>58</v>
      </c>
      <c r="K130" s="3">
        <v>413.4</v>
      </c>
      <c r="L130" s="3">
        <v>17</v>
      </c>
    </row>
    <row r="131" spans="1:12" ht="20.100000000000001" customHeight="1" x14ac:dyDescent="0.25">
      <c r="A131" s="2" t="s">
        <v>15</v>
      </c>
      <c r="B131" s="2" t="s">
        <v>3</v>
      </c>
      <c r="C131" s="2" t="s">
        <v>88</v>
      </c>
      <c r="D131" s="2" t="s">
        <v>30</v>
      </c>
      <c r="E131" s="2" t="s">
        <v>214</v>
      </c>
      <c r="F131" s="2" t="s">
        <v>90</v>
      </c>
      <c r="G131" s="2" t="s">
        <v>33</v>
      </c>
      <c r="H131" s="2" t="s">
        <v>10</v>
      </c>
      <c r="I131" s="2" t="s">
        <v>34</v>
      </c>
      <c r="J131" s="2" t="s">
        <v>46</v>
      </c>
      <c r="K131" s="3">
        <v>403.7</v>
      </c>
      <c r="L131" s="3">
        <v>46.02</v>
      </c>
    </row>
    <row r="132" spans="1:12" ht="20.100000000000001" customHeight="1" x14ac:dyDescent="0.25">
      <c r="A132" s="2" t="s">
        <v>15</v>
      </c>
      <c r="B132" s="2" t="s">
        <v>5</v>
      </c>
      <c r="C132" s="2" t="s">
        <v>100</v>
      </c>
      <c r="D132" s="2" t="s">
        <v>37</v>
      </c>
      <c r="E132" s="2" t="s">
        <v>215</v>
      </c>
      <c r="F132" s="2" t="s">
        <v>113</v>
      </c>
      <c r="G132" s="2" t="s">
        <v>78</v>
      </c>
      <c r="H132" s="2" t="s">
        <v>10</v>
      </c>
      <c r="I132" s="2" t="s">
        <v>34</v>
      </c>
      <c r="J132" s="2" t="s">
        <v>74</v>
      </c>
      <c r="K132" s="3">
        <v>402.89</v>
      </c>
      <c r="L132" s="3">
        <v>43.96</v>
      </c>
    </row>
    <row r="133" spans="1:12" ht="20.100000000000001" customHeight="1" x14ac:dyDescent="0.25">
      <c r="A133" s="2" t="s">
        <v>15</v>
      </c>
      <c r="B133" s="2" t="s">
        <v>3</v>
      </c>
      <c r="C133" s="2" t="s">
        <v>96</v>
      </c>
      <c r="D133" s="2" t="s">
        <v>63</v>
      </c>
      <c r="E133" s="2" t="s">
        <v>216</v>
      </c>
      <c r="F133" s="2" t="s">
        <v>172</v>
      </c>
      <c r="G133" s="2" t="s">
        <v>33</v>
      </c>
      <c r="H133" s="2" t="s">
        <v>10</v>
      </c>
      <c r="I133" s="2" t="s">
        <v>34</v>
      </c>
      <c r="J133" s="2" t="s">
        <v>58</v>
      </c>
      <c r="K133" s="3">
        <v>398</v>
      </c>
      <c r="L133" s="3">
        <v>15.92</v>
      </c>
    </row>
    <row r="134" spans="1:12" ht="20.100000000000001" customHeight="1" x14ac:dyDescent="0.25">
      <c r="A134" s="2" t="s">
        <v>15</v>
      </c>
      <c r="B134" s="2" t="s">
        <v>3</v>
      </c>
      <c r="C134" s="2" t="s">
        <v>80</v>
      </c>
      <c r="D134" s="2" t="s">
        <v>37</v>
      </c>
      <c r="E134" s="2" t="s">
        <v>217</v>
      </c>
      <c r="F134" s="2" t="s">
        <v>82</v>
      </c>
      <c r="G134" s="2" t="s">
        <v>83</v>
      </c>
      <c r="H134" s="2" t="s">
        <v>10</v>
      </c>
      <c r="I134" s="2" t="s">
        <v>34</v>
      </c>
      <c r="J134" s="2" t="s">
        <v>84</v>
      </c>
      <c r="K134" s="3">
        <v>396.36</v>
      </c>
      <c r="L134" s="3">
        <v>43.24</v>
      </c>
    </row>
    <row r="135" spans="1:12" ht="20.100000000000001" customHeight="1" x14ac:dyDescent="0.25">
      <c r="A135" s="2" t="s">
        <v>15</v>
      </c>
      <c r="B135" s="2" t="s">
        <v>5</v>
      </c>
      <c r="C135" s="2" t="s">
        <v>137</v>
      </c>
      <c r="D135" s="2" t="s">
        <v>138</v>
      </c>
      <c r="E135" s="2" t="s">
        <v>218</v>
      </c>
      <c r="F135" s="2" t="s">
        <v>195</v>
      </c>
      <c r="G135" s="2" t="s">
        <v>45</v>
      </c>
      <c r="H135" s="2" t="s">
        <v>10</v>
      </c>
      <c r="I135" s="2" t="s">
        <v>34</v>
      </c>
      <c r="J135" s="2" t="s">
        <v>58</v>
      </c>
      <c r="K135" s="3">
        <v>396</v>
      </c>
      <c r="L135" s="3">
        <v>47.52</v>
      </c>
    </row>
    <row r="136" spans="1:12" ht="20.100000000000001" customHeight="1" x14ac:dyDescent="0.25">
      <c r="A136" s="2" t="s">
        <v>15</v>
      </c>
      <c r="B136" s="2" t="s">
        <v>3</v>
      </c>
      <c r="C136" s="2" t="s">
        <v>219</v>
      </c>
      <c r="D136" s="2" t="s">
        <v>138</v>
      </c>
      <c r="E136" s="2" t="s">
        <v>220</v>
      </c>
      <c r="F136" s="2" t="s">
        <v>127</v>
      </c>
      <c r="G136" s="2" t="s">
        <v>45</v>
      </c>
      <c r="H136" s="2" t="s">
        <v>10</v>
      </c>
      <c r="I136" s="2" t="s">
        <v>34</v>
      </c>
      <c r="J136" s="2" t="s">
        <v>58</v>
      </c>
      <c r="K136" s="3">
        <v>393.75</v>
      </c>
      <c r="L136" s="3">
        <v>47.25</v>
      </c>
    </row>
    <row r="137" spans="1:12" ht="20.100000000000001" customHeight="1" x14ac:dyDescent="0.25">
      <c r="A137" s="2" t="s">
        <v>15</v>
      </c>
      <c r="B137" s="2" t="s">
        <v>3</v>
      </c>
      <c r="C137" s="2" t="s">
        <v>96</v>
      </c>
      <c r="D137" s="2" t="s">
        <v>63</v>
      </c>
      <c r="E137" s="2" t="s">
        <v>221</v>
      </c>
      <c r="F137" s="2" t="s">
        <v>163</v>
      </c>
      <c r="G137" s="2" t="s">
        <v>33</v>
      </c>
      <c r="H137" s="2" t="s">
        <v>10</v>
      </c>
      <c r="I137" s="2" t="s">
        <v>34</v>
      </c>
      <c r="J137" s="2" t="s">
        <v>46</v>
      </c>
      <c r="K137" s="3">
        <v>391.56</v>
      </c>
      <c r="L137" s="3">
        <v>15.66</v>
      </c>
    </row>
    <row r="138" spans="1:12" ht="20.100000000000001" customHeight="1" x14ac:dyDescent="0.25">
      <c r="A138" s="2" t="s">
        <v>15</v>
      </c>
      <c r="B138" s="2" t="s">
        <v>3</v>
      </c>
      <c r="C138" s="2" t="s">
        <v>222</v>
      </c>
      <c r="D138" s="2" t="s">
        <v>30</v>
      </c>
      <c r="E138" s="2" t="s">
        <v>223</v>
      </c>
      <c r="F138" s="2" t="s">
        <v>224</v>
      </c>
      <c r="G138" s="2" t="s">
        <v>45</v>
      </c>
      <c r="H138" s="2" t="s">
        <v>10</v>
      </c>
      <c r="I138" s="2" t="s">
        <v>34</v>
      </c>
      <c r="J138" s="2" t="s">
        <v>58</v>
      </c>
      <c r="K138" s="3">
        <v>390.96</v>
      </c>
      <c r="L138" s="3">
        <v>46.92</v>
      </c>
    </row>
    <row r="139" spans="1:12" ht="20.100000000000001" customHeight="1" x14ac:dyDescent="0.25">
      <c r="A139" s="2" t="s">
        <v>15</v>
      </c>
      <c r="B139" s="2" t="s">
        <v>3</v>
      </c>
      <c r="C139" s="2" t="s">
        <v>222</v>
      </c>
      <c r="D139" s="2" t="s">
        <v>30</v>
      </c>
      <c r="E139" s="2" t="s">
        <v>225</v>
      </c>
      <c r="F139" s="2" t="s">
        <v>226</v>
      </c>
      <c r="G139" s="2" t="s">
        <v>45</v>
      </c>
      <c r="H139" s="2" t="s">
        <v>10</v>
      </c>
      <c r="I139" s="2" t="s">
        <v>34</v>
      </c>
      <c r="J139" s="2" t="s">
        <v>58</v>
      </c>
      <c r="K139" s="3">
        <v>390.24</v>
      </c>
      <c r="L139" s="3">
        <v>46.83</v>
      </c>
    </row>
    <row r="140" spans="1:12" ht="20.100000000000001" customHeight="1" x14ac:dyDescent="0.25">
      <c r="A140" s="2" t="s">
        <v>15</v>
      </c>
      <c r="B140" s="2" t="s">
        <v>3</v>
      </c>
      <c r="C140" s="2" t="s">
        <v>54</v>
      </c>
      <c r="D140" s="2" t="s">
        <v>55</v>
      </c>
      <c r="E140" s="2" t="s">
        <v>227</v>
      </c>
      <c r="F140" s="2" t="s">
        <v>110</v>
      </c>
      <c r="G140" s="2" t="s">
        <v>33</v>
      </c>
      <c r="H140" s="2" t="s">
        <v>10</v>
      </c>
      <c r="I140" s="2" t="s">
        <v>34</v>
      </c>
      <c r="J140" s="2" t="s">
        <v>74</v>
      </c>
      <c r="K140" s="3">
        <v>388.8</v>
      </c>
      <c r="L140" s="3">
        <v>15.55</v>
      </c>
    </row>
    <row r="141" spans="1:12" ht="20.100000000000001" customHeight="1" x14ac:dyDescent="0.25">
      <c r="A141" s="2" t="s">
        <v>15</v>
      </c>
      <c r="B141" s="2" t="s">
        <v>5</v>
      </c>
      <c r="C141" s="2" t="s">
        <v>71</v>
      </c>
      <c r="D141" s="2" t="s">
        <v>63</v>
      </c>
      <c r="E141" s="2" t="s">
        <v>228</v>
      </c>
      <c r="F141" s="2" t="s">
        <v>73</v>
      </c>
      <c r="G141" s="2" t="s">
        <v>33</v>
      </c>
      <c r="H141" s="2" t="s">
        <v>10</v>
      </c>
      <c r="I141" s="2" t="s">
        <v>34</v>
      </c>
      <c r="J141" s="2" t="s">
        <v>74</v>
      </c>
      <c r="K141" s="3">
        <v>380.98</v>
      </c>
      <c r="L141" s="3">
        <v>15.24</v>
      </c>
    </row>
    <row r="142" spans="1:12" ht="20.100000000000001" customHeight="1" x14ac:dyDescent="0.25">
      <c r="A142" s="2" t="s">
        <v>15</v>
      </c>
      <c r="B142" s="2" t="s">
        <v>5</v>
      </c>
      <c r="C142" s="2" t="s">
        <v>137</v>
      </c>
      <c r="D142" s="2" t="s">
        <v>138</v>
      </c>
      <c r="E142" s="2" t="s">
        <v>229</v>
      </c>
      <c r="F142" s="2" t="s">
        <v>195</v>
      </c>
      <c r="G142" s="2" t="s">
        <v>45</v>
      </c>
      <c r="H142" s="2" t="s">
        <v>10</v>
      </c>
      <c r="I142" s="2" t="s">
        <v>34</v>
      </c>
      <c r="J142" s="2" t="s">
        <v>58</v>
      </c>
      <c r="K142" s="3">
        <v>380</v>
      </c>
      <c r="L142" s="3">
        <v>45.6</v>
      </c>
    </row>
    <row r="143" spans="1:12" ht="20.100000000000001" customHeight="1" x14ac:dyDescent="0.25">
      <c r="A143" s="2" t="s">
        <v>15</v>
      </c>
      <c r="B143" s="2" t="s">
        <v>5</v>
      </c>
      <c r="C143" s="2" t="s">
        <v>71</v>
      </c>
      <c r="D143" s="2" t="s">
        <v>63</v>
      </c>
      <c r="E143" s="2" t="s">
        <v>230</v>
      </c>
      <c r="F143" s="2" t="s">
        <v>110</v>
      </c>
      <c r="G143" s="2" t="s">
        <v>33</v>
      </c>
      <c r="H143" s="2" t="s">
        <v>10</v>
      </c>
      <c r="I143" s="2" t="s">
        <v>34</v>
      </c>
      <c r="J143" s="2" t="s">
        <v>74</v>
      </c>
      <c r="K143" s="3">
        <v>379.37</v>
      </c>
      <c r="L143" s="3">
        <v>15.17</v>
      </c>
    </row>
    <row r="144" spans="1:12" ht="20.100000000000001" customHeight="1" x14ac:dyDescent="0.25">
      <c r="A144" s="2" t="s">
        <v>15</v>
      </c>
      <c r="B144" s="2" t="s">
        <v>7</v>
      </c>
      <c r="C144" s="2" t="s">
        <v>80</v>
      </c>
      <c r="D144" s="2" t="s">
        <v>37</v>
      </c>
      <c r="E144" s="2" t="s">
        <v>154</v>
      </c>
      <c r="F144" s="2" t="s">
        <v>82</v>
      </c>
      <c r="G144" s="2" t="s">
        <v>83</v>
      </c>
      <c r="H144" s="2" t="s">
        <v>10</v>
      </c>
      <c r="I144" s="2" t="s">
        <v>34</v>
      </c>
      <c r="J144" s="2" t="s">
        <v>84</v>
      </c>
      <c r="K144" s="3">
        <v>378.27</v>
      </c>
      <c r="L144" s="3">
        <v>41.26</v>
      </c>
    </row>
    <row r="145" spans="1:12" ht="20.100000000000001" customHeight="1" x14ac:dyDescent="0.25">
      <c r="A145" s="2" t="s">
        <v>15</v>
      </c>
      <c r="B145" s="2" t="s">
        <v>3</v>
      </c>
      <c r="C145" s="2" t="s">
        <v>80</v>
      </c>
      <c r="D145" s="2" t="s">
        <v>37</v>
      </c>
      <c r="E145" s="2" t="s">
        <v>231</v>
      </c>
      <c r="F145" s="2" t="s">
        <v>82</v>
      </c>
      <c r="G145" s="2" t="s">
        <v>83</v>
      </c>
      <c r="H145" s="2" t="s">
        <v>10</v>
      </c>
      <c r="I145" s="2" t="s">
        <v>34</v>
      </c>
      <c r="J145" s="2" t="s">
        <v>84</v>
      </c>
      <c r="K145" s="3">
        <v>378</v>
      </c>
      <c r="L145" s="3">
        <v>41.23</v>
      </c>
    </row>
    <row r="146" spans="1:12" ht="20.100000000000001" customHeight="1" x14ac:dyDescent="0.25">
      <c r="A146" s="2" t="s">
        <v>9</v>
      </c>
      <c r="B146" s="2" t="s">
        <v>2</v>
      </c>
      <c r="C146" s="2" t="s">
        <v>75</v>
      </c>
      <c r="D146" s="2" t="s">
        <v>37</v>
      </c>
      <c r="E146" s="2" t="s">
        <v>232</v>
      </c>
      <c r="F146" s="2" t="s">
        <v>129</v>
      </c>
      <c r="G146" s="2" t="s">
        <v>78</v>
      </c>
      <c r="H146" s="2" t="s">
        <v>10</v>
      </c>
      <c r="I146" s="2" t="s">
        <v>34</v>
      </c>
      <c r="J146" s="2" t="s">
        <v>41</v>
      </c>
      <c r="K146" s="3">
        <v>377</v>
      </c>
      <c r="L146" s="3">
        <v>0</v>
      </c>
    </row>
    <row r="147" spans="1:12" ht="20.100000000000001" customHeight="1" x14ac:dyDescent="0.25">
      <c r="A147" s="2" t="s">
        <v>15</v>
      </c>
      <c r="B147" s="2" t="s">
        <v>4</v>
      </c>
      <c r="C147" s="2" t="s">
        <v>201</v>
      </c>
      <c r="D147" s="2" t="s">
        <v>138</v>
      </c>
      <c r="E147" s="2" t="s">
        <v>233</v>
      </c>
      <c r="F147" s="2" t="s">
        <v>203</v>
      </c>
      <c r="G147" s="2" t="s">
        <v>45</v>
      </c>
      <c r="H147" s="2" t="s">
        <v>10</v>
      </c>
      <c r="I147" s="2" t="s">
        <v>34</v>
      </c>
      <c r="J147" s="2" t="s">
        <v>46</v>
      </c>
      <c r="K147" s="3">
        <v>370.56</v>
      </c>
      <c r="L147" s="3">
        <v>44.47</v>
      </c>
    </row>
    <row r="148" spans="1:12" ht="20.100000000000001" customHeight="1" x14ac:dyDescent="0.25">
      <c r="A148" s="2" t="s">
        <v>15</v>
      </c>
      <c r="B148" s="2" t="s">
        <v>3</v>
      </c>
      <c r="C148" s="2" t="s">
        <v>219</v>
      </c>
      <c r="D148" s="2" t="s">
        <v>63</v>
      </c>
      <c r="E148" s="2" t="s">
        <v>234</v>
      </c>
      <c r="F148" s="2" t="s">
        <v>127</v>
      </c>
      <c r="G148" s="2" t="s">
        <v>33</v>
      </c>
      <c r="H148" s="2" t="s">
        <v>10</v>
      </c>
      <c r="I148" s="2" t="s">
        <v>34</v>
      </c>
      <c r="J148" s="2" t="s">
        <v>58</v>
      </c>
      <c r="K148" s="3">
        <v>370.2</v>
      </c>
      <c r="L148" s="3">
        <v>14.81</v>
      </c>
    </row>
    <row r="149" spans="1:12" ht="20.100000000000001" customHeight="1" x14ac:dyDescent="0.25">
      <c r="A149" s="2" t="s">
        <v>15</v>
      </c>
      <c r="B149" s="2" t="s">
        <v>7</v>
      </c>
      <c r="C149" s="2" t="s">
        <v>117</v>
      </c>
      <c r="D149" s="2" t="s">
        <v>118</v>
      </c>
      <c r="E149" s="2" t="s">
        <v>235</v>
      </c>
      <c r="F149" s="2" t="s">
        <v>236</v>
      </c>
      <c r="G149" s="2" t="s">
        <v>33</v>
      </c>
      <c r="H149" s="2" t="s">
        <v>10</v>
      </c>
      <c r="I149" s="2" t="s">
        <v>34</v>
      </c>
      <c r="J149" s="2" t="s">
        <v>237</v>
      </c>
      <c r="K149" s="3">
        <v>368.63</v>
      </c>
      <c r="L149" s="3">
        <v>44.24</v>
      </c>
    </row>
    <row r="150" spans="1:12" ht="20.100000000000001" customHeight="1" x14ac:dyDescent="0.25">
      <c r="A150" s="2" t="s">
        <v>15</v>
      </c>
      <c r="B150" s="2" t="s">
        <v>2</v>
      </c>
      <c r="C150" s="2" t="s">
        <v>238</v>
      </c>
      <c r="D150" s="2" t="s">
        <v>30</v>
      </c>
      <c r="E150" s="2" t="s">
        <v>239</v>
      </c>
      <c r="F150" s="2" t="s">
        <v>240</v>
      </c>
      <c r="G150" s="2" t="s">
        <v>120</v>
      </c>
      <c r="H150" s="2" t="s">
        <v>10</v>
      </c>
      <c r="I150" s="2" t="s">
        <v>34</v>
      </c>
      <c r="J150" s="2" t="s">
        <v>58</v>
      </c>
      <c r="K150" s="3">
        <v>361.15</v>
      </c>
      <c r="L150" s="3">
        <v>14.45</v>
      </c>
    </row>
    <row r="151" spans="1:12" ht="20.100000000000001" customHeight="1" x14ac:dyDescent="0.25">
      <c r="A151" s="2" t="s">
        <v>15</v>
      </c>
      <c r="B151" s="2" t="s">
        <v>6</v>
      </c>
      <c r="C151" s="2" t="s">
        <v>96</v>
      </c>
      <c r="D151" s="2" t="s">
        <v>63</v>
      </c>
      <c r="E151" s="2" t="s">
        <v>241</v>
      </c>
      <c r="F151" s="2" t="s">
        <v>163</v>
      </c>
      <c r="G151" s="2" t="s">
        <v>33</v>
      </c>
      <c r="H151" s="2" t="s">
        <v>10</v>
      </c>
      <c r="I151" s="2" t="s">
        <v>34</v>
      </c>
      <c r="J151" s="2" t="s">
        <v>46</v>
      </c>
      <c r="K151" s="3">
        <v>358.36</v>
      </c>
      <c r="L151" s="3">
        <v>14.33</v>
      </c>
    </row>
    <row r="152" spans="1:12" ht="20.100000000000001" customHeight="1" x14ac:dyDescent="0.25">
      <c r="A152" s="2" t="s">
        <v>15</v>
      </c>
      <c r="B152" s="2" t="s">
        <v>7</v>
      </c>
      <c r="C152" s="2" t="s">
        <v>184</v>
      </c>
      <c r="D152" s="2" t="s">
        <v>55</v>
      </c>
      <c r="E152" s="2" t="s">
        <v>242</v>
      </c>
      <c r="F152" s="2" t="s">
        <v>186</v>
      </c>
      <c r="G152" s="2" t="s">
        <v>45</v>
      </c>
      <c r="H152" s="2" t="s">
        <v>10</v>
      </c>
      <c r="I152" s="2" t="s">
        <v>34</v>
      </c>
      <c r="J152" s="2" t="s">
        <v>58</v>
      </c>
      <c r="K152" s="3">
        <v>355.18</v>
      </c>
      <c r="L152" s="3">
        <v>43.35</v>
      </c>
    </row>
    <row r="153" spans="1:12" ht="20.100000000000001" customHeight="1" x14ac:dyDescent="0.25">
      <c r="A153" s="2" t="s">
        <v>15</v>
      </c>
      <c r="B153" s="2" t="s">
        <v>2</v>
      </c>
      <c r="C153" s="2" t="s">
        <v>111</v>
      </c>
      <c r="D153" s="2" t="s">
        <v>30</v>
      </c>
      <c r="E153" s="2" t="s">
        <v>243</v>
      </c>
      <c r="F153" s="2" t="s">
        <v>102</v>
      </c>
      <c r="G153" s="2" t="s">
        <v>124</v>
      </c>
      <c r="H153" s="2" t="s">
        <v>10</v>
      </c>
      <c r="I153" s="2" t="s">
        <v>34</v>
      </c>
      <c r="J153" s="2" t="s">
        <v>74</v>
      </c>
      <c r="K153" s="3">
        <v>355.16</v>
      </c>
      <c r="L153" s="3">
        <v>42.62</v>
      </c>
    </row>
    <row r="154" spans="1:12" ht="20.100000000000001" customHeight="1" x14ac:dyDescent="0.25">
      <c r="A154" s="2" t="s">
        <v>15</v>
      </c>
      <c r="B154" s="2" t="s">
        <v>4</v>
      </c>
      <c r="C154" s="2" t="s">
        <v>111</v>
      </c>
      <c r="D154" s="2" t="s">
        <v>30</v>
      </c>
      <c r="E154" s="2" t="s">
        <v>244</v>
      </c>
      <c r="F154" s="2" t="s">
        <v>102</v>
      </c>
      <c r="G154" s="2" t="s">
        <v>124</v>
      </c>
      <c r="H154" s="2" t="s">
        <v>10</v>
      </c>
      <c r="I154" s="2" t="s">
        <v>34</v>
      </c>
      <c r="J154" s="2" t="s">
        <v>74</v>
      </c>
      <c r="K154" s="3">
        <v>355.16</v>
      </c>
      <c r="L154" s="3">
        <v>44.68</v>
      </c>
    </row>
    <row r="155" spans="1:12" ht="20.100000000000001" customHeight="1" x14ac:dyDescent="0.25">
      <c r="A155" s="2" t="s">
        <v>15</v>
      </c>
      <c r="B155" s="2" t="s">
        <v>2</v>
      </c>
      <c r="C155" s="2" t="s">
        <v>111</v>
      </c>
      <c r="D155" s="2" t="s">
        <v>30</v>
      </c>
      <c r="E155" s="2" t="s">
        <v>244</v>
      </c>
      <c r="F155" s="2" t="s">
        <v>102</v>
      </c>
      <c r="G155" s="2" t="s">
        <v>124</v>
      </c>
      <c r="H155" s="2" t="s">
        <v>10</v>
      </c>
      <c r="I155" s="2" t="s">
        <v>34</v>
      </c>
      <c r="J155" s="2" t="s">
        <v>74</v>
      </c>
      <c r="K155" s="3">
        <v>355.16</v>
      </c>
      <c r="L155" s="3">
        <v>42.62</v>
      </c>
    </row>
    <row r="156" spans="1:12" ht="20.100000000000001" customHeight="1" x14ac:dyDescent="0.25">
      <c r="A156" s="2" t="s">
        <v>15</v>
      </c>
      <c r="B156" s="2" t="s">
        <v>2</v>
      </c>
      <c r="C156" s="2" t="s">
        <v>111</v>
      </c>
      <c r="D156" s="2" t="s">
        <v>30</v>
      </c>
      <c r="E156" s="2" t="s">
        <v>245</v>
      </c>
      <c r="F156" s="2" t="s">
        <v>102</v>
      </c>
      <c r="G156" s="2" t="s">
        <v>124</v>
      </c>
      <c r="H156" s="2" t="s">
        <v>10</v>
      </c>
      <c r="I156" s="2" t="s">
        <v>34</v>
      </c>
      <c r="J156" s="2" t="s">
        <v>74</v>
      </c>
      <c r="K156" s="3">
        <v>355.16</v>
      </c>
      <c r="L156" s="3">
        <v>42.61</v>
      </c>
    </row>
    <row r="157" spans="1:12" ht="20.100000000000001" customHeight="1" x14ac:dyDescent="0.25">
      <c r="A157" s="2" t="s">
        <v>9</v>
      </c>
      <c r="B157" s="2" t="s">
        <v>2</v>
      </c>
      <c r="C157" s="2" t="s">
        <v>75</v>
      </c>
      <c r="D157" s="2" t="s">
        <v>37</v>
      </c>
      <c r="E157" s="2" t="s">
        <v>246</v>
      </c>
      <c r="F157" s="2" t="s">
        <v>247</v>
      </c>
      <c r="G157" s="2" t="s">
        <v>78</v>
      </c>
      <c r="H157" s="2" t="s">
        <v>10</v>
      </c>
      <c r="I157" s="2" t="s">
        <v>34</v>
      </c>
      <c r="J157" s="2" t="s">
        <v>41</v>
      </c>
      <c r="K157" s="3">
        <v>350</v>
      </c>
      <c r="L157" s="3">
        <v>0</v>
      </c>
    </row>
    <row r="158" spans="1:12" ht="20.100000000000001" customHeight="1" x14ac:dyDescent="0.25">
      <c r="A158" s="2" t="s">
        <v>15</v>
      </c>
      <c r="B158" s="2" t="s">
        <v>3</v>
      </c>
      <c r="C158" s="2" t="s">
        <v>54</v>
      </c>
      <c r="D158" s="2" t="s">
        <v>55</v>
      </c>
      <c r="E158" s="2" t="s">
        <v>248</v>
      </c>
      <c r="F158" s="2" t="s">
        <v>73</v>
      </c>
      <c r="G158" s="2" t="s">
        <v>45</v>
      </c>
      <c r="H158" s="2" t="s">
        <v>10</v>
      </c>
      <c r="I158" s="2" t="s">
        <v>34</v>
      </c>
      <c r="J158" s="2" t="s">
        <v>74</v>
      </c>
      <c r="K158" s="3">
        <v>347.28</v>
      </c>
      <c r="L158" s="3">
        <v>41.67</v>
      </c>
    </row>
    <row r="159" spans="1:12" ht="20.100000000000001" customHeight="1" x14ac:dyDescent="0.25">
      <c r="A159" s="2" t="s">
        <v>15</v>
      </c>
      <c r="B159" s="2" t="s">
        <v>6</v>
      </c>
      <c r="C159" s="2" t="s">
        <v>96</v>
      </c>
      <c r="D159" s="2" t="s">
        <v>63</v>
      </c>
      <c r="E159" s="2" t="s">
        <v>249</v>
      </c>
      <c r="F159" s="2" t="s">
        <v>163</v>
      </c>
      <c r="G159" s="2" t="s">
        <v>33</v>
      </c>
      <c r="H159" s="2" t="s">
        <v>10</v>
      </c>
      <c r="I159" s="2" t="s">
        <v>34</v>
      </c>
      <c r="J159" s="2" t="s">
        <v>58</v>
      </c>
      <c r="K159" s="3">
        <v>346.88</v>
      </c>
      <c r="L159" s="3">
        <v>13.88</v>
      </c>
    </row>
    <row r="160" spans="1:12" ht="20.100000000000001" customHeight="1" x14ac:dyDescent="0.25">
      <c r="A160" s="2" t="s">
        <v>15</v>
      </c>
      <c r="B160" s="2" t="s">
        <v>3</v>
      </c>
      <c r="C160" s="2" t="s">
        <v>80</v>
      </c>
      <c r="D160" s="2" t="s">
        <v>37</v>
      </c>
      <c r="E160" s="2" t="s">
        <v>183</v>
      </c>
      <c r="F160" s="2" t="s">
        <v>82</v>
      </c>
      <c r="G160" s="2" t="s">
        <v>83</v>
      </c>
      <c r="H160" s="2" t="s">
        <v>10</v>
      </c>
      <c r="I160" s="2" t="s">
        <v>34</v>
      </c>
      <c r="J160" s="2" t="s">
        <v>84</v>
      </c>
      <c r="K160" s="3">
        <v>346.14</v>
      </c>
      <c r="L160" s="3">
        <v>37.770000000000003</v>
      </c>
    </row>
    <row r="161" spans="1:12" ht="20.100000000000001" customHeight="1" x14ac:dyDescent="0.25">
      <c r="A161" s="2" t="s">
        <v>15</v>
      </c>
      <c r="B161" s="2" t="s">
        <v>3</v>
      </c>
      <c r="C161" s="2" t="s">
        <v>96</v>
      </c>
      <c r="D161" s="2" t="s">
        <v>63</v>
      </c>
      <c r="E161" s="2" t="s">
        <v>250</v>
      </c>
      <c r="F161" s="2" t="s">
        <v>163</v>
      </c>
      <c r="G161" s="2" t="s">
        <v>33</v>
      </c>
      <c r="H161" s="2" t="s">
        <v>10</v>
      </c>
      <c r="I161" s="2" t="s">
        <v>34</v>
      </c>
      <c r="J161" s="2" t="s">
        <v>46</v>
      </c>
      <c r="K161" s="3">
        <v>345.63</v>
      </c>
      <c r="L161" s="3">
        <v>13.83</v>
      </c>
    </row>
    <row r="162" spans="1:12" ht="20.100000000000001" customHeight="1" x14ac:dyDescent="0.25">
      <c r="A162" s="2" t="s">
        <v>15</v>
      </c>
      <c r="B162" s="2" t="s">
        <v>3</v>
      </c>
      <c r="C162" s="2" t="s">
        <v>219</v>
      </c>
      <c r="D162" s="2" t="s">
        <v>63</v>
      </c>
      <c r="E162" s="2" t="s">
        <v>251</v>
      </c>
      <c r="F162" s="2" t="s">
        <v>127</v>
      </c>
      <c r="G162" s="2" t="s">
        <v>33</v>
      </c>
      <c r="H162" s="2" t="s">
        <v>10</v>
      </c>
      <c r="I162" s="2" t="s">
        <v>34</v>
      </c>
      <c r="J162" s="2" t="s">
        <v>58</v>
      </c>
      <c r="K162" s="3">
        <v>345.2</v>
      </c>
      <c r="L162" s="3">
        <v>13.81</v>
      </c>
    </row>
    <row r="163" spans="1:12" ht="20.100000000000001" customHeight="1" x14ac:dyDescent="0.25">
      <c r="A163" s="2" t="s">
        <v>15</v>
      </c>
      <c r="B163" s="2" t="s">
        <v>7</v>
      </c>
      <c r="C163" s="2" t="s">
        <v>111</v>
      </c>
      <c r="D163" s="2" t="s">
        <v>30</v>
      </c>
      <c r="E163" s="2" t="s">
        <v>252</v>
      </c>
      <c r="F163" s="2" t="s">
        <v>149</v>
      </c>
      <c r="G163" s="2" t="s">
        <v>124</v>
      </c>
      <c r="H163" s="2" t="s">
        <v>10</v>
      </c>
      <c r="I163" s="2" t="s">
        <v>34</v>
      </c>
      <c r="J163" s="2" t="s">
        <v>74</v>
      </c>
      <c r="K163" s="3">
        <v>344.84</v>
      </c>
      <c r="L163" s="3">
        <v>41.38</v>
      </c>
    </row>
    <row r="164" spans="1:12" ht="20.100000000000001" customHeight="1" x14ac:dyDescent="0.25">
      <c r="A164" s="2" t="s">
        <v>15</v>
      </c>
      <c r="B164" s="2" t="s">
        <v>2</v>
      </c>
      <c r="C164" s="2" t="s">
        <v>111</v>
      </c>
      <c r="D164" s="2" t="s">
        <v>30</v>
      </c>
      <c r="E164" s="2" t="s">
        <v>252</v>
      </c>
      <c r="F164" s="2" t="s">
        <v>149</v>
      </c>
      <c r="G164" s="2" t="s">
        <v>124</v>
      </c>
      <c r="H164" s="2" t="s">
        <v>10</v>
      </c>
      <c r="I164" s="2" t="s">
        <v>34</v>
      </c>
      <c r="J164" s="2" t="s">
        <v>74</v>
      </c>
      <c r="K164" s="3">
        <v>344.84</v>
      </c>
      <c r="L164" s="3">
        <v>41.38</v>
      </c>
    </row>
    <row r="165" spans="1:12" ht="20.100000000000001" customHeight="1" x14ac:dyDescent="0.25">
      <c r="A165" s="2" t="s">
        <v>15</v>
      </c>
      <c r="B165" s="2" t="s">
        <v>7</v>
      </c>
      <c r="C165" s="2" t="s">
        <v>62</v>
      </c>
      <c r="D165" s="2" t="s">
        <v>63</v>
      </c>
      <c r="E165" s="2" t="s">
        <v>121</v>
      </c>
      <c r="F165" s="2" t="s">
        <v>65</v>
      </c>
      <c r="G165" s="2" t="s">
        <v>45</v>
      </c>
      <c r="H165" s="2" t="s">
        <v>10</v>
      </c>
      <c r="I165" s="2" t="s">
        <v>34</v>
      </c>
      <c r="J165" s="2" t="s">
        <v>41</v>
      </c>
      <c r="K165" s="3">
        <v>342</v>
      </c>
      <c r="L165" s="3">
        <v>41.04</v>
      </c>
    </row>
    <row r="166" spans="1:12" ht="20.100000000000001" customHeight="1" x14ac:dyDescent="0.25">
      <c r="A166" s="2" t="s">
        <v>15</v>
      </c>
      <c r="B166" s="2" t="s">
        <v>4</v>
      </c>
      <c r="C166" s="2" t="s">
        <v>62</v>
      </c>
      <c r="D166" s="2" t="s">
        <v>63</v>
      </c>
      <c r="E166" s="2" t="s">
        <v>121</v>
      </c>
      <c r="F166" s="2" t="s">
        <v>65</v>
      </c>
      <c r="G166" s="2" t="s">
        <v>45</v>
      </c>
      <c r="H166" s="2" t="s">
        <v>10</v>
      </c>
      <c r="I166" s="2" t="s">
        <v>34</v>
      </c>
      <c r="J166" s="2" t="s">
        <v>41</v>
      </c>
      <c r="K166" s="3">
        <v>342</v>
      </c>
      <c r="L166" s="3">
        <v>41.04</v>
      </c>
    </row>
    <row r="167" spans="1:12" ht="20.100000000000001" customHeight="1" x14ac:dyDescent="0.25">
      <c r="A167" s="2" t="s">
        <v>15</v>
      </c>
      <c r="B167" s="2" t="s">
        <v>6</v>
      </c>
      <c r="C167" s="2" t="s">
        <v>62</v>
      </c>
      <c r="D167" s="2" t="s">
        <v>63</v>
      </c>
      <c r="E167" s="2" t="s">
        <v>253</v>
      </c>
      <c r="F167" s="2" t="s">
        <v>65</v>
      </c>
      <c r="G167" s="2" t="s">
        <v>45</v>
      </c>
      <c r="H167" s="2" t="s">
        <v>10</v>
      </c>
      <c r="I167" s="2" t="s">
        <v>34</v>
      </c>
      <c r="J167" s="2" t="s">
        <v>41</v>
      </c>
      <c r="K167" s="3">
        <v>342</v>
      </c>
      <c r="L167" s="3">
        <v>41.04</v>
      </c>
    </row>
    <row r="168" spans="1:12" ht="20.100000000000001" customHeight="1" x14ac:dyDescent="0.25">
      <c r="A168" s="2" t="s">
        <v>15</v>
      </c>
      <c r="B168" s="2" t="s">
        <v>5</v>
      </c>
      <c r="C168" s="2" t="s">
        <v>62</v>
      </c>
      <c r="D168" s="2" t="s">
        <v>63</v>
      </c>
      <c r="E168" s="2" t="s">
        <v>253</v>
      </c>
      <c r="F168" s="2" t="s">
        <v>65</v>
      </c>
      <c r="G168" s="2" t="s">
        <v>45</v>
      </c>
      <c r="H168" s="2" t="s">
        <v>10</v>
      </c>
      <c r="I168" s="2" t="s">
        <v>34</v>
      </c>
      <c r="J168" s="2" t="s">
        <v>41</v>
      </c>
      <c r="K168" s="3">
        <v>342</v>
      </c>
      <c r="L168" s="3">
        <v>41.04</v>
      </c>
    </row>
    <row r="169" spans="1:12" ht="20.100000000000001" customHeight="1" x14ac:dyDescent="0.25">
      <c r="A169" s="2" t="s">
        <v>15</v>
      </c>
      <c r="B169" s="2" t="s">
        <v>3</v>
      </c>
      <c r="C169" s="2" t="s">
        <v>96</v>
      </c>
      <c r="D169" s="2" t="s">
        <v>63</v>
      </c>
      <c r="E169" s="2" t="s">
        <v>254</v>
      </c>
      <c r="F169" s="2" t="s">
        <v>163</v>
      </c>
      <c r="G169" s="2" t="s">
        <v>33</v>
      </c>
      <c r="H169" s="2" t="s">
        <v>10</v>
      </c>
      <c r="I169" s="2" t="s">
        <v>34</v>
      </c>
      <c r="J169" s="2" t="s">
        <v>46</v>
      </c>
      <c r="K169" s="3">
        <v>339.75</v>
      </c>
      <c r="L169" s="3">
        <v>13.59</v>
      </c>
    </row>
    <row r="170" spans="1:12" ht="20.100000000000001" customHeight="1" x14ac:dyDescent="0.25">
      <c r="A170" s="2" t="s">
        <v>15</v>
      </c>
      <c r="B170" s="2" t="s">
        <v>3</v>
      </c>
      <c r="C170" s="2" t="s">
        <v>96</v>
      </c>
      <c r="D170" s="2" t="s">
        <v>63</v>
      </c>
      <c r="E170" s="2" t="s">
        <v>255</v>
      </c>
      <c r="F170" s="2" t="s">
        <v>163</v>
      </c>
      <c r="G170" s="2" t="s">
        <v>33</v>
      </c>
      <c r="H170" s="2" t="s">
        <v>10</v>
      </c>
      <c r="I170" s="2" t="s">
        <v>34</v>
      </c>
      <c r="J170" s="2" t="s">
        <v>46</v>
      </c>
      <c r="K170" s="3">
        <v>337</v>
      </c>
      <c r="L170" s="3">
        <v>13.48</v>
      </c>
    </row>
    <row r="171" spans="1:12" ht="20.100000000000001" customHeight="1" x14ac:dyDescent="0.25">
      <c r="A171" s="2" t="s">
        <v>15</v>
      </c>
      <c r="B171" s="2" t="s">
        <v>5</v>
      </c>
      <c r="C171" s="2" t="s">
        <v>111</v>
      </c>
      <c r="D171" s="2" t="s">
        <v>30</v>
      </c>
      <c r="E171" s="2" t="s">
        <v>256</v>
      </c>
      <c r="F171" s="2" t="s">
        <v>149</v>
      </c>
      <c r="G171" s="2" t="s">
        <v>124</v>
      </c>
      <c r="H171" s="2" t="s">
        <v>10</v>
      </c>
      <c r="I171" s="2" t="s">
        <v>34</v>
      </c>
      <c r="J171" s="2" t="s">
        <v>74</v>
      </c>
      <c r="K171" s="3">
        <v>331.44</v>
      </c>
      <c r="L171" s="3">
        <v>40.770000000000003</v>
      </c>
    </row>
    <row r="172" spans="1:12" ht="20.100000000000001" customHeight="1" x14ac:dyDescent="0.25">
      <c r="A172" s="2" t="s">
        <v>15</v>
      </c>
      <c r="B172" s="2" t="s">
        <v>2</v>
      </c>
      <c r="C172" s="2" t="s">
        <v>111</v>
      </c>
      <c r="D172" s="2" t="s">
        <v>30</v>
      </c>
      <c r="E172" s="2" t="s">
        <v>256</v>
      </c>
      <c r="F172" s="2" t="s">
        <v>149</v>
      </c>
      <c r="G172" s="2" t="s">
        <v>124</v>
      </c>
      <c r="H172" s="2" t="s">
        <v>10</v>
      </c>
      <c r="I172" s="2" t="s">
        <v>34</v>
      </c>
      <c r="J172" s="2" t="s">
        <v>74</v>
      </c>
      <c r="K172" s="3">
        <v>331.44</v>
      </c>
      <c r="L172" s="3">
        <v>39.770000000000003</v>
      </c>
    </row>
    <row r="173" spans="1:12" ht="20.100000000000001" customHeight="1" x14ac:dyDescent="0.25">
      <c r="A173" s="2" t="s">
        <v>15</v>
      </c>
      <c r="B173" s="2" t="s">
        <v>3</v>
      </c>
      <c r="C173" s="2" t="s">
        <v>133</v>
      </c>
      <c r="D173" s="2" t="s">
        <v>134</v>
      </c>
      <c r="E173" s="2" t="s">
        <v>257</v>
      </c>
      <c r="F173" s="2" t="s">
        <v>258</v>
      </c>
      <c r="G173" s="2" t="s">
        <v>120</v>
      </c>
      <c r="H173" s="2" t="s">
        <v>10</v>
      </c>
      <c r="I173" s="2" t="s">
        <v>34</v>
      </c>
      <c r="J173" s="2" t="s">
        <v>58</v>
      </c>
      <c r="K173" s="3">
        <v>329.58</v>
      </c>
      <c r="L173" s="3">
        <v>39.549999999999997</v>
      </c>
    </row>
    <row r="174" spans="1:12" ht="20.100000000000001" customHeight="1" x14ac:dyDescent="0.25">
      <c r="A174" s="2" t="s">
        <v>15</v>
      </c>
      <c r="B174" s="2" t="s">
        <v>3</v>
      </c>
      <c r="C174" s="2" t="s">
        <v>133</v>
      </c>
      <c r="D174" s="2" t="s">
        <v>134</v>
      </c>
      <c r="E174" s="2" t="s">
        <v>259</v>
      </c>
      <c r="F174" s="2" t="s">
        <v>258</v>
      </c>
      <c r="G174" s="2" t="s">
        <v>120</v>
      </c>
      <c r="H174" s="2" t="s">
        <v>10</v>
      </c>
      <c r="I174" s="2" t="s">
        <v>34</v>
      </c>
      <c r="J174" s="2" t="s">
        <v>58</v>
      </c>
      <c r="K174" s="3">
        <v>329.58</v>
      </c>
      <c r="L174" s="3">
        <v>39.549999999999997</v>
      </c>
    </row>
    <row r="175" spans="1:12" ht="20.100000000000001" customHeight="1" x14ac:dyDescent="0.25">
      <c r="A175" s="2" t="s">
        <v>15</v>
      </c>
      <c r="B175" s="2" t="s">
        <v>6</v>
      </c>
      <c r="C175" s="2" t="s">
        <v>260</v>
      </c>
      <c r="D175" s="2" t="s">
        <v>55</v>
      </c>
      <c r="E175" s="2" t="s">
        <v>261</v>
      </c>
      <c r="F175" s="2" t="s">
        <v>262</v>
      </c>
      <c r="G175" s="2" t="s">
        <v>124</v>
      </c>
      <c r="H175" s="2" t="s">
        <v>10</v>
      </c>
      <c r="I175" s="2" t="s">
        <v>34</v>
      </c>
      <c r="J175" s="2" t="s">
        <v>46</v>
      </c>
      <c r="K175" s="3">
        <v>324.60000000000002</v>
      </c>
      <c r="L175" s="3">
        <v>38.950000000000003</v>
      </c>
    </row>
    <row r="176" spans="1:12" ht="20.100000000000001" customHeight="1" x14ac:dyDescent="0.25">
      <c r="A176" s="2" t="s">
        <v>15</v>
      </c>
      <c r="B176" s="2" t="s">
        <v>5</v>
      </c>
      <c r="C176" s="2" t="s">
        <v>111</v>
      </c>
      <c r="D176" s="2" t="s">
        <v>30</v>
      </c>
      <c r="E176" s="2" t="s">
        <v>263</v>
      </c>
      <c r="F176" s="2" t="s">
        <v>264</v>
      </c>
      <c r="G176" s="2" t="s">
        <v>45</v>
      </c>
      <c r="H176" s="2" t="s">
        <v>10</v>
      </c>
      <c r="I176" s="2" t="s">
        <v>34</v>
      </c>
      <c r="J176" s="2" t="s">
        <v>58</v>
      </c>
      <c r="K176" s="3">
        <v>318.60000000000002</v>
      </c>
      <c r="L176" s="3">
        <v>39.19</v>
      </c>
    </row>
    <row r="177" spans="1:12" ht="20.100000000000001" customHeight="1" x14ac:dyDescent="0.25">
      <c r="A177" s="2" t="s">
        <v>15</v>
      </c>
      <c r="B177" s="2" t="s">
        <v>2</v>
      </c>
      <c r="C177" s="2" t="s">
        <v>111</v>
      </c>
      <c r="D177" s="2" t="s">
        <v>30</v>
      </c>
      <c r="E177" s="2" t="s">
        <v>263</v>
      </c>
      <c r="F177" s="2" t="s">
        <v>264</v>
      </c>
      <c r="G177" s="2" t="s">
        <v>45</v>
      </c>
      <c r="H177" s="2" t="s">
        <v>10</v>
      </c>
      <c r="I177" s="2" t="s">
        <v>34</v>
      </c>
      <c r="J177" s="2" t="s">
        <v>58</v>
      </c>
      <c r="K177" s="3">
        <v>318.60000000000002</v>
      </c>
      <c r="L177" s="3">
        <v>38.229999999999997</v>
      </c>
    </row>
    <row r="178" spans="1:12" ht="20.100000000000001" customHeight="1" x14ac:dyDescent="0.25">
      <c r="A178" s="2" t="s">
        <v>15</v>
      </c>
      <c r="B178" s="2" t="s">
        <v>6</v>
      </c>
      <c r="C178" s="2" t="s">
        <v>210</v>
      </c>
      <c r="D178" s="2" t="s">
        <v>134</v>
      </c>
      <c r="E178" s="2" t="s">
        <v>265</v>
      </c>
      <c r="F178" s="2" t="s">
        <v>266</v>
      </c>
      <c r="G178" s="2" t="s">
        <v>33</v>
      </c>
      <c r="H178" s="2" t="s">
        <v>10</v>
      </c>
      <c r="I178" s="2" t="s">
        <v>34</v>
      </c>
      <c r="J178" s="2" t="s">
        <v>267</v>
      </c>
      <c r="K178" s="3">
        <v>317.49</v>
      </c>
      <c r="L178" s="3">
        <v>38.22</v>
      </c>
    </row>
    <row r="179" spans="1:12" ht="20.100000000000001" customHeight="1" x14ac:dyDescent="0.25">
      <c r="A179" s="2" t="s">
        <v>15</v>
      </c>
      <c r="B179" s="2" t="s">
        <v>3</v>
      </c>
      <c r="C179" s="2" t="s">
        <v>88</v>
      </c>
      <c r="D179" s="2" t="s">
        <v>30</v>
      </c>
      <c r="E179" s="2" t="s">
        <v>268</v>
      </c>
      <c r="F179" s="2" t="s">
        <v>90</v>
      </c>
      <c r="G179" s="2" t="s">
        <v>33</v>
      </c>
      <c r="H179" s="2" t="s">
        <v>10</v>
      </c>
      <c r="I179" s="2" t="s">
        <v>34</v>
      </c>
      <c r="J179" s="2" t="s">
        <v>58</v>
      </c>
      <c r="K179" s="3">
        <v>315.2</v>
      </c>
      <c r="L179" s="3">
        <v>35.93</v>
      </c>
    </row>
    <row r="180" spans="1:12" ht="20.100000000000001" customHeight="1" x14ac:dyDescent="0.25">
      <c r="A180" s="2" t="s">
        <v>15</v>
      </c>
      <c r="B180" s="2" t="s">
        <v>3</v>
      </c>
      <c r="C180" s="2" t="s">
        <v>88</v>
      </c>
      <c r="D180" s="2" t="s">
        <v>30</v>
      </c>
      <c r="E180" s="2" t="s">
        <v>269</v>
      </c>
      <c r="F180" s="2" t="s">
        <v>90</v>
      </c>
      <c r="G180" s="2" t="s">
        <v>33</v>
      </c>
      <c r="H180" s="2" t="s">
        <v>10</v>
      </c>
      <c r="I180" s="2" t="s">
        <v>34</v>
      </c>
      <c r="J180" s="2" t="s">
        <v>58</v>
      </c>
      <c r="K180" s="3">
        <v>315.2</v>
      </c>
      <c r="L180" s="3">
        <v>35.93</v>
      </c>
    </row>
    <row r="181" spans="1:12" ht="20.100000000000001" customHeight="1" x14ac:dyDescent="0.25">
      <c r="A181" s="2" t="s">
        <v>15</v>
      </c>
      <c r="B181" s="2" t="s">
        <v>3</v>
      </c>
      <c r="C181" s="2" t="s">
        <v>88</v>
      </c>
      <c r="D181" s="2" t="s">
        <v>30</v>
      </c>
      <c r="E181" s="2" t="s">
        <v>270</v>
      </c>
      <c r="F181" s="2" t="s">
        <v>90</v>
      </c>
      <c r="G181" s="2" t="s">
        <v>33</v>
      </c>
      <c r="H181" s="2" t="s">
        <v>10</v>
      </c>
      <c r="I181" s="2" t="s">
        <v>34</v>
      </c>
      <c r="J181" s="2" t="s">
        <v>58</v>
      </c>
      <c r="K181" s="3">
        <v>315.2</v>
      </c>
      <c r="L181" s="3">
        <v>35.93</v>
      </c>
    </row>
    <row r="182" spans="1:12" ht="20.100000000000001" customHeight="1" x14ac:dyDescent="0.25">
      <c r="A182" s="2" t="s">
        <v>15</v>
      </c>
      <c r="B182" s="2" t="s">
        <v>3</v>
      </c>
      <c r="C182" s="2" t="s">
        <v>88</v>
      </c>
      <c r="D182" s="2" t="s">
        <v>30</v>
      </c>
      <c r="E182" s="2" t="s">
        <v>271</v>
      </c>
      <c r="F182" s="2" t="s">
        <v>90</v>
      </c>
      <c r="G182" s="2" t="s">
        <v>33</v>
      </c>
      <c r="H182" s="2" t="s">
        <v>10</v>
      </c>
      <c r="I182" s="2" t="s">
        <v>34</v>
      </c>
      <c r="J182" s="2" t="s">
        <v>58</v>
      </c>
      <c r="K182" s="3">
        <v>315.2</v>
      </c>
      <c r="L182" s="3">
        <v>35.93</v>
      </c>
    </row>
    <row r="183" spans="1:12" ht="20.100000000000001" customHeight="1" x14ac:dyDescent="0.25">
      <c r="A183" s="2" t="s">
        <v>15</v>
      </c>
      <c r="B183" s="2" t="s">
        <v>3</v>
      </c>
      <c r="C183" s="2" t="s">
        <v>96</v>
      </c>
      <c r="D183" s="2" t="s">
        <v>63</v>
      </c>
      <c r="E183" s="2" t="s">
        <v>249</v>
      </c>
      <c r="F183" s="2" t="s">
        <v>163</v>
      </c>
      <c r="G183" s="2" t="s">
        <v>33</v>
      </c>
      <c r="H183" s="2" t="s">
        <v>10</v>
      </c>
      <c r="I183" s="2" t="s">
        <v>34</v>
      </c>
      <c r="J183" s="2" t="s">
        <v>58</v>
      </c>
      <c r="K183" s="3">
        <v>313.64999999999998</v>
      </c>
      <c r="L183" s="3">
        <v>12.55</v>
      </c>
    </row>
    <row r="184" spans="1:12" ht="20.100000000000001" customHeight="1" x14ac:dyDescent="0.25">
      <c r="A184" s="2" t="s">
        <v>15</v>
      </c>
      <c r="B184" s="2" t="s">
        <v>7</v>
      </c>
      <c r="C184" s="2" t="s">
        <v>100</v>
      </c>
      <c r="D184" s="2" t="s">
        <v>37</v>
      </c>
      <c r="E184" s="2" t="s">
        <v>272</v>
      </c>
      <c r="F184" s="2" t="s">
        <v>273</v>
      </c>
      <c r="G184" s="2" t="s">
        <v>83</v>
      </c>
      <c r="H184" s="2" t="s">
        <v>10</v>
      </c>
      <c r="I184" s="2" t="s">
        <v>34</v>
      </c>
      <c r="J184" s="2" t="s">
        <v>58</v>
      </c>
      <c r="K184" s="3">
        <v>313.02</v>
      </c>
      <c r="L184" s="3">
        <v>34.15</v>
      </c>
    </row>
    <row r="185" spans="1:12" ht="20.100000000000001" customHeight="1" x14ac:dyDescent="0.25">
      <c r="A185" s="2" t="s">
        <v>15</v>
      </c>
      <c r="B185" s="2" t="s">
        <v>5</v>
      </c>
      <c r="C185" s="2" t="s">
        <v>137</v>
      </c>
      <c r="D185" s="2" t="s">
        <v>138</v>
      </c>
      <c r="E185" s="2" t="s">
        <v>274</v>
      </c>
      <c r="F185" s="2" t="s">
        <v>195</v>
      </c>
      <c r="G185" s="2" t="s">
        <v>45</v>
      </c>
      <c r="H185" s="2" t="s">
        <v>10</v>
      </c>
      <c r="I185" s="2" t="s">
        <v>34</v>
      </c>
      <c r="J185" s="2" t="s">
        <v>58</v>
      </c>
      <c r="K185" s="3">
        <v>310</v>
      </c>
      <c r="L185" s="3">
        <v>37.200000000000003</v>
      </c>
    </row>
    <row r="186" spans="1:12" ht="20.100000000000001" customHeight="1" x14ac:dyDescent="0.25">
      <c r="A186" s="2" t="s">
        <v>15</v>
      </c>
      <c r="B186" s="2" t="s">
        <v>5</v>
      </c>
      <c r="C186" s="2" t="s">
        <v>80</v>
      </c>
      <c r="D186" s="2" t="s">
        <v>37</v>
      </c>
      <c r="E186" s="2" t="s">
        <v>275</v>
      </c>
      <c r="F186" s="2" t="s">
        <v>82</v>
      </c>
      <c r="G186" s="2" t="s">
        <v>83</v>
      </c>
      <c r="H186" s="2" t="s">
        <v>10</v>
      </c>
      <c r="I186" s="2" t="s">
        <v>34</v>
      </c>
      <c r="J186" s="2" t="s">
        <v>84</v>
      </c>
      <c r="K186" s="3">
        <v>301.86</v>
      </c>
      <c r="L186" s="3">
        <v>32.92</v>
      </c>
    </row>
    <row r="187" spans="1:12" ht="20.100000000000001" customHeight="1" x14ac:dyDescent="0.25">
      <c r="A187" s="2" t="s">
        <v>15</v>
      </c>
      <c r="B187" s="2" t="s">
        <v>3</v>
      </c>
      <c r="C187" s="2" t="s">
        <v>80</v>
      </c>
      <c r="D187" s="2" t="s">
        <v>37</v>
      </c>
      <c r="E187" s="2" t="s">
        <v>275</v>
      </c>
      <c r="F187" s="2" t="s">
        <v>82</v>
      </c>
      <c r="G187" s="2" t="s">
        <v>83</v>
      </c>
      <c r="H187" s="2" t="s">
        <v>10</v>
      </c>
      <c r="I187" s="2" t="s">
        <v>34</v>
      </c>
      <c r="J187" s="2" t="s">
        <v>84</v>
      </c>
      <c r="K187" s="3">
        <v>301.86</v>
      </c>
      <c r="L187" s="3">
        <v>32.93</v>
      </c>
    </row>
    <row r="188" spans="1:12" ht="20.100000000000001" customHeight="1" x14ac:dyDescent="0.25">
      <c r="A188" s="2" t="s">
        <v>15</v>
      </c>
      <c r="B188" s="2" t="s">
        <v>4</v>
      </c>
      <c r="C188" s="2" t="s">
        <v>111</v>
      </c>
      <c r="D188" s="2" t="s">
        <v>30</v>
      </c>
      <c r="E188" s="2" t="s">
        <v>170</v>
      </c>
      <c r="F188" s="2" t="s">
        <v>102</v>
      </c>
      <c r="G188" s="2" t="s">
        <v>124</v>
      </c>
      <c r="H188" s="2" t="s">
        <v>10</v>
      </c>
      <c r="I188" s="2" t="s">
        <v>34</v>
      </c>
      <c r="J188" s="2" t="s">
        <v>74</v>
      </c>
      <c r="K188" s="3">
        <v>301.76</v>
      </c>
      <c r="L188" s="3">
        <v>37.96</v>
      </c>
    </row>
    <row r="189" spans="1:12" ht="20.100000000000001" customHeight="1" x14ac:dyDescent="0.25">
      <c r="A189" s="2" t="s">
        <v>15</v>
      </c>
      <c r="B189" s="2" t="s">
        <v>2</v>
      </c>
      <c r="C189" s="2" t="s">
        <v>111</v>
      </c>
      <c r="D189" s="2" t="s">
        <v>30</v>
      </c>
      <c r="E189" s="2" t="s">
        <v>170</v>
      </c>
      <c r="F189" s="2" t="s">
        <v>102</v>
      </c>
      <c r="G189" s="2" t="s">
        <v>124</v>
      </c>
      <c r="H189" s="2" t="s">
        <v>10</v>
      </c>
      <c r="I189" s="2" t="s">
        <v>34</v>
      </c>
      <c r="J189" s="2" t="s">
        <v>74</v>
      </c>
      <c r="K189" s="3">
        <v>301.76</v>
      </c>
      <c r="L189" s="3">
        <v>36.21</v>
      </c>
    </row>
    <row r="190" spans="1:12" ht="20.100000000000001" customHeight="1" x14ac:dyDescent="0.25">
      <c r="A190" s="2" t="s">
        <v>15</v>
      </c>
      <c r="B190" s="2" t="s">
        <v>7</v>
      </c>
      <c r="C190" s="2" t="s">
        <v>125</v>
      </c>
      <c r="D190" s="2" t="s">
        <v>30</v>
      </c>
      <c r="E190" s="2" t="s">
        <v>276</v>
      </c>
      <c r="F190" s="2" t="s">
        <v>127</v>
      </c>
      <c r="G190" s="2" t="s">
        <v>33</v>
      </c>
      <c r="H190" s="2" t="s">
        <v>10</v>
      </c>
      <c r="I190" s="2" t="s">
        <v>34</v>
      </c>
      <c r="J190" s="2" t="s">
        <v>58</v>
      </c>
      <c r="K190" s="3">
        <v>299.76</v>
      </c>
      <c r="L190" s="3">
        <v>11.99</v>
      </c>
    </row>
    <row r="191" spans="1:12" ht="20.100000000000001" customHeight="1" x14ac:dyDescent="0.25">
      <c r="A191" s="2" t="s">
        <v>15</v>
      </c>
      <c r="B191" s="2" t="s">
        <v>3</v>
      </c>
      <c r="C191" s="2" t="s">
        <v>260</v>
      </c>
      <c r="D191" s="2" t="s">
        <v>55</v>
      </c>
      <c r="E191" s="2" t="s">
        <v>277</v>
      </c>
      <c r="F191" s="2" t="s">
        <v>262</v>
      </c>
      <c r="G191" s="2" t="s">
        <v>124</v>
      </c>
      <c r="H191" s="2" t="s">
        <v>10</v>
      </c>
      <c r="I191" s="2" t="s">
        <v>34</v>
      </c>
      <c r="J191" s="2" t="s">
        <v>46</v>
      </c>
      <c r="K191" s="3">
        <v>295.2</v>
      </c>
      <c r="L191" s="3">
        <v>35.42</v>
      </c>
    </row>
    <row r="192" spans="1:12" ht="20.100000000000001" customHeight="1" x14ac:dyDescent="0.25">
      <c r="A192" s="2" t="s">
        <v>15</v>
      </c>
      <c r="B192" s="2" t="s">
        <v>2</v>
      </c>
      <c r="C192" s="2" t="s">
        <v>238</v>
      </c>
      <c r="D192" s="2" t="s">
        <v>30</v>
      </c>
      <c r="E192" s="2" t="s">
        <v>278</v>
      </c>
      <c r="F192" s="2" t="s">
        <v>279</v>
      </c>
      <c r="G192" s="2" t="s">
        <v>33</v>
      </c>
      <c r="H192" s="2" t="s">
        <v>10</v>
      </c>
      <c r="I192" s="2" t="s">
        <v>34</v>
      </c>
      <c r="J192" s="2" t="s">
        <v>237</v>
      </c>
      <c r="K192" s="3">
        <v>294.76</v>
      </c>
      <c r="L192" s="3">
        <v>11.79</v>
      </c>
    </row>
    <row r="193" spans="1:12" ht="20.100000000000001" customHeight="1" x14ac:dyDescent="0.25">
      <c r="A193" s="2" t="s">
        <v>15</v>
      </c>
      <c r="B193" s="2" t="s">
        <v>5</v>
      </c>
      <c r="C193" s="2" t="s">
        <v>111</v>
      </c>
      <c r="D193" s="2" t="s">
        <v>30</v>
      </c>
      <c r="E193" s="2" t="s">
        <v>280</v>
      </c>
      <c r="F193" s="2" t="s">
        <v>149</v>
      </c>
      <c r="G193" s="2" t="s">
        <v>124</v>
      </c>
      <c r="H193" s="2" t="s">
        <v>10</v>
      </c>
      <c r="I193" s="2" t="s">
        <v>34</v>
      </c>
      <c r="J193" s="2" t="s">
        <v>74</v>
      </c>
      <c r="K193" s="3">
        <v>292.56</v>
      </c>
      <c r="L193" s="3">
        <v>35.979999999999997</v>
      </c>
    </row>
    <row r="194" spans="1:12" ht="20.100000000000001" customHeight="1" x14ac:dyDescent="0.25">
      <c r="A194" s="2" t="s">
        <v>15</v>
      </c>
      <c r="B194" s="2" t="s">
        <v>4</v>
      </c>
      <c r="C194" s="2" t="s">
        <v>111</v>
      </c>
      <c r="D194" s="2" t="s">
        <v>30</v>
      </c>
      <c r="E194" s="2" t="s">
        <v>281</v>
      </c>
      <c r="F194" s="2" t="s">
        <v>102</v>
      </c>
      <c r="G194" s="2" t="s">
        <v>124</v>
      </c>
      <c r="H194" s="2" t="s">
        <v>10</v>
      </c>
      <c r="I194" s="2" t="s">
        <v>34</v>
      </c>
      <c r="J194" s="2" t="s">
        <v>74</v>
      </c>
      <c r="K194" s="3">
        <v>291.2</v>
      </c>
      <c r="L194" s="3">
        <v>36.630000000000003</v>
      </c>
    </row>
    <row r="195" spans="1:12" ht="20.100000000000001" customHeight="1" x14ac:dyDescent="0.25">
      <c r="A195" s="2" t="s">
        <v>15</v>
      </c>
      <c r="B195" s="2" t="s">
        <v>3</v>
      </c>
      <c r="C195" s="2" t="s">
        <v>219</v>
      </c>
      <c r="D195" s="2" t="s">
        <v>63</v>
      </c>
      <c r="E195" s="2" t="s">
        <v>276</v>
      </c>
      <c r="F195" s="2" t="s">
        <v>127</v>
      </c>
      <c r="G195" s="2" t="s">
        <v>33</v>
      </c>
      <c r="H195" s="2" t="s">
        <v>10</v>
      </c>
      <c r="I195" s="2" t="s">
        <v>34</v>
      </c>
      <c r="J195" s="2" t="s">
        <v>58</v>
      </c>
      <c r="K195" s="3">
        <v>285.83999999999997</v>
      </c>
      <c r="L195" s="3">
        <v>11.43</v>
      </c>
    </row>
    <row r="196" spans="1:12" ht="20.100000000000001" customHeight="1" x14ac:dyDescent="0.25">
      <c r="A196" s="2" t="s">
        <v>15</v>
      </c>
      <c r="B196" s="2" t="s">
        <v>6</v>
      </c>
      <c r="C196" s="2" t="s">
        <v>142</v>
      </c>
      <c r="D196" s="2" t="s">
        <v>143</v>
      </c>
      <c r="E196" s="2" t="s">
        <v>282</v>
      </c>
      <c r="F196" s="2" t="s">
        <v>145</v>
      </c>
      <c r="G196" s="2" t="s">
        <v>45</v>
      </c>
      <c r="H196" s="2" t="s">
        <v>10</v>
      </c>
      <c r="I196" s="2" t="s">
        <v>34</v>
      </c>
      <c r="J196" s="2" t="s">
        <v>74</v>
      </c>
      <c r="K196" s="3">
        <v>282.95999999999998</v>
      </c>
      <c r="L196" s="3">
        <v>12.64</v>
      </c>
    </row>
    <row r="197" spans="1:12" ht="20.100000000000001" customHeight="1" x14ac:dyDescent="0.25">
      <c r="A197" s="2" t="s">
        <v>15</v>
      </c>
      <c r="B197" s="2" t="s">
        <v>3</v>
      </c>
      <c r="C197" s="2" t="s">
        <v>88</v>
      </c>
      <c r="D197" s="2" t="s">
        <v>30</v>
      </c>
      <c r="E197" s="2" t="s">
        <v>283</v>
      </c>
      <c r="F197" s="2" t="s">
        <v>90</v>
      </c>
      <c r="G197" s="2" t="s">
        <v>33</v>
      </c>
      <c r="H197" s="2" t="s">
        <v>10</v>
      </c>
      <c r="I197" s="2" t="s">
        <v>34</v>
      </c>
      <c r="J197" s="2" t="s">
        <v>58</v>
      </c>
      <c r="K197" s="3">
        <v>282</v>
      </c>
      <c r="L197" s="3">
        <v>32.15</v>
      </c>
    </row>
    <row r="198" spans="1:12" ht="20.100000000000001" customHeight="1" x14ac:dyDescent="0.25">
      <c r="A198" s="2" t="s">
        <v>15</v>
      </c>
      <c r="B198" s="2" t="s">
        <v>3</v>
      </c>
      <c r="C198" s="2" t="s">
        <v>96</v>
      </c>
      <c r="D198" s="2" t="s">
        <v>63</v>
      </c>
      <c r="E198" s="2" t="s">
        <v>284</v>
      </c>
      <c r="F198" s="2" t="s">
        <v>163</v>
      </c>
      <c r="G198" s="2" t="s">
        <v>33</v>
      </c>
      <c r="H198" s="2" t="s">
        <v>10</v>
      </c>
      <c r="I198" s="2" t="s">
        <v>34</v>
      </c>
      <c r="J198" s="2" t="s">
        <v>46</v>
      </c>
      <c r="K198" s="3">
        <v>280.12</v>
      </c>
      <c r="L198" s="3">
        <v>11.2</v>
      </c>
    </row>
    <row r="199" spans="1:12" ht="20.100000000000001" customHeight="1" x14ac:dyDescent="0.25">
      <c r="A199" s="2" t="s">
        <v>15</v>
      </c>
      <c r="B199" s="2" t="s">
        <v>3</v>
      </c>
      <c r="C199" s="2" t="s">
        <v>100</v>
      </c>
      <c r="D199" s="2" t="s">
        <v>37</v>
      </c>
      <c r="E199" s="2" t="s">
        <v>285</v>
      </c>
      <c r="F199" s="2" t="s">
        <v>286</v>
      </c>
      <c r="G199" s="2" t="s">
        <v>83</v>
      </c>
      <c r="H199" s="2" t="s">
        <v>10</v>
      </c>
      <c r="I199" s="2" t="s">
        <v>34</v>
      </c>
      <c r="J199" s="2" t="s">
        <v>58</v>
      </c>
      <c r="K199" s="3">
        <v>278.66000000000003</v>
      </c>
      <c r="L199" s="3">
        <v>30.4</v>
      </c>
    </row>
    <row r="200" spans="1:12" ht="20.100000000000001" customHeight="1" x14ac:dyDescent="0.25">
      <c r="A200" s="2" t="s">
        <v>15</v>
      </c>
      <c r="B200" s="2" t="s">
        <v>7</v>
      </c>
      <c r="C200" s="2" t="s">
        <v>96</v>
      </c>
      <c r="D200" s="2" t="s">
        <v>63</v>
      </c>
      <c r="E200" s="2" t="s">
        <v>287</v>
      </c>
      <c r="F200" s="2" t="s">
        <v>163</v>
      </c>
      <c r="G200" s="2" t="s">
        <v>33</v>
      </c>
      <c r="H200" s="2" t="s">
        <v>10</v>
      </c>
      <c r="I200" s="2" t="s">
        <v>34</v>
      </c>
      <c r="J200" s="2" t="s">
        <v>58</v>
      </c>
      <c r="K200" s="3">
        <v>276.52999999999997</v>
      </c>
      <c r="L200" s="3">
        <v>11.06</v>
      </c>
    </row>
    <row r="201" spans="1:12" ht="20.100000000000001" customHeight="1" x14ac:dyDescent="0.25">
      <c r="A201" s="2" t="s">
        <v>15</v>
      </c>
      <c r="B201" s="2" t="s">
        <v>5</v>
      </c>
      <c r="C201" s="2" t="s">
        <v>71</v>
      </c>
      <c r="D201" s="2" t="s">
        <v>63</v>
      </c>
      <c r="E201" s="2" t="s">
        <v>288</v>
      </c>
      <c r="F201" s="2" t="s">
        <v>110</v>
      </c>
      <c r="G201" s="2" t="s">
        <v>33</v>
      </c>
      <c r="H201" s="2" t="s">
        <v>10</v>
      </c>
      <c r="I201" s="2" t="s">
        <v>34</v>
      </c>
      <c r="J201" s="2" t="s">
        <v>74</v>
      </c>
      <c r="K201" s="3">
        <v>276.01</v>
      </c>
      <c r="L201" s="3">
        <v>11.04</v>
      </c>
    </row>
    <row r="202" spans="1:12" ht="20.100000000000001" customHeight="1" x14ac:dyDescent="0.25">
      <c r="A202" s="2" t="s">
        <v>15</v>
      </c>
      <c r="B202" s="2" t="s">
        <v>3</v>
      </c>
      <c r="C202" s="2" t="s">
        <v>88</v>
      </c>
      <c r="D202" s="2" t="s">
        <v>30</v>
      </c>
      <c r="E202" s="2" t="s">
        <v>289</v>
      </c>
      <c r="F202" s="2" t="s">
        <v>203</v>
      </c>
      <c r="G202" s="2" t="s">
        <v>33</v>
      </c>
      <c r="H202" s="2" t="s">
        <v>10</v>
      </c>
      <c r="I202" s="2" t="s">
        <v>34</v>
      </c>
      <c r="J202" s="2" t="s">
        <v>46</v>
      </c>
      <c r="K202" s="3">
        <v>276</v>
      </c>
      <c r="L202" s="3">
        <v>31.46</v>
      </c>
    </row>
    <row r="203" spans="1:12" ht="20.100000000000001" customHeight="1" x14ac:dyDescent="0.25">
      <c r="A203" s="2" t="s">
        <v>15</v>
      </c>
      <c r="B203" s="2" t="s">
        <v>3</v>
      </c>
      <c r="C203" s="2" t="s">
        <v>88</v>
      </c>
      <c r="D203" s="2" t="s">
        <v>30</v>
      </c>
      <c r="E203" s="2" t="s">
        <v>290</v>
      </c>
      <c r="F203" s="2" t="s">
        <v>203</v>
      </c>
      <c r="G203" s="2" t="s">
        <v>33</v>
      </c>
      <c r="H203" s="2" t="s">
        <v>10</v>
      </c>
      <c r="I203" s="2" t="s">
        <v>34</v>
      </c>
      <c r="J203" s="2" t="s">
        <v>46</v>
      </c>
      <c r="K203" s="3">
        <v>276</v>
      </c>
      <c r="L203" s="3">
        <v>31.46</v>
      </c>
    </row>
    <row r="204" spans="1:12" ht="20.100000000000001" customHeight="1" x14ac:dyDescent="0.25">
      <c r="A204" s="2" t="s">
        <v>15</v>
      </c>
      <c r="B204" s="2" t="s">
        <v>7</v>
      </c>
      <c r="C204" s="2" t="s">
        <v>117</v>
      </c>
      <c r="D204" s="2" t="s">
        <v>118</v>
      </c>
      <c r="E204" s="2" t="s">
        <v>291</v>
      </c>
      <c r="F204" s="2" t="s">
        <v>115</v>
      </c>
      <c r="G204" s="2" t="s">
        <v>120</v>
      </c>
      <c r="H204" s="2" t="s">
        <v>10</v>
      </c>
      <c r="I204" s="2" t="s">
        <v>34</v>
      </c>
      <c r="J204" s="2" t="s">
        <v>51</v>
      </c>
      <c r="K204" s="3">
        <v>274.7</v>
      </c>
      <c r="L204" s="3">
        <v>32.96</v>
      </c>
    </row>
    <row r="205" spans="1:12" ht="20.100000000000001" customHeight="1" x14ac:dyDescent="0.25">
      <c r="A205" s="2" t="s">
        <v>15</v>
      </c>
      <c r="B205" s="2" t="s">
        <v>4</v>
      </c>
      <c r="C205" s="2" t="s">
        <v>201</v>
      </c>
      <c r="D205" s="2" t="s">
        <v>138</v>
      </c>
      <c r="E205" s="2" t="s">
        <v>292</v>
      </c>
      <c r="F205" s="2" t="s">
        <v>203</v>
      </c>
      <c r="G205" s="2" t="s">
        <v>45</v>
      </c>
      <c r="H205" s="2" t="s">
        <v>10</v>
      </c>
      <c r="I205" s="2" t="s">
        <v>34</v>
      </c>
      <c r="J205" s="2" t="s">
        <v>58</v>
      </c>
      <c r="K205" s="3">
        <v>274.3</v>
      </c>
      <c r="L205" s="3">
        <v>32.92</v>
      </c>
    </row>
    <row r="206" spans="1:12" ht="20.100000000000001" customHeight="1" x14ac:dyDescent="0.25">
      <c r="A206" s="2" t="s">
        <v>15</v>
      </c>
      <c r="B206" s="2" t="s">
        <v>7</v>
      </c>
      <c r="C206" s="2" t="s">
        <v>111</v>
      </c>
      <c r="D206" s="2" t="s">
        <v>30</v>
      </c>
      <c r="E206" s="2" t="s">
        <v>281</v>
      </c>
      <c r="F206" s="2" t="s">
        <v>102</v>
      </c>
      <c r="G206" s="2" t="s">
        <v>124</v>
      </c>
      <c r="H206" s="2" t="s">
        <v>10</v>
      </c>
      <c r="I206" s="2" t="s">
        <v>34</v>
      </c>
      <c r="J206" s="2" t="s">
        <v>74</v>
      </c>
      <c r="K206" s="3">
        <v>273.76</v>
      </c>
      <c r="L206" s="3">
        <v>32.85</v>
      </c>
    </row>
    <row r="207" spans="1:12" ht="20.100000000000001" customHeight="1" x14ac:dyDescent="0.25">
      <c r="A207" s="2" t="s">
        <v>15</v>
      </c>
      <c r="B207" s="2" t="s">
        <v>3</v>
      </c>
      <c r="C207" s="2" t="s">
        <v>80</v>
      </c>
      <c r="D207" s="2" t="s">
        <v>37</v>
      </c>
      <c r="E207" s="2" t="s">
        <v>293</v>
      </c>
      <c r="F207" s="2" t="s">
        <v>82</v>
      </c>
      <c r="G207" s="2" t="s">
        <v>83</v>
      </c>
      <c r="H207" s="2" t="s">
        <v>10</v>
      </c>
      <c r="I207" s="2" t="s">
        <v>34</v>
      </c>
      <c r="J207" s="2" t="s">
        <v>84</v>
      </c>
      <c r="K207" s="3">
        <v>273.24</v>
      </c>
      <c r="L207" s="3">
        <v>29.82</v>
      </c>
    </row>
    <row r="208" spans="1:12" ht="20.100000000000001" customHeight="1" x14ac:dyDescent="0.25">
      <c r="A208" s="2" t="s">
        <v>15</v>
      </c>
      <c r="B208" s="2" t="s">
        <v>3</v>
      </c>
      <c r="C208" s="2" t="s">
        <v>222</v>
      </c>
      <c r="D208" s="2" t="s">
        <v>30</v>
      </c>
      <c r="E208" s="2" t="s">
        <v>294</v>
      </c>
      <c r="F208" s="2" t="s">
        <v>224</v>
      </c>
      <c r="G208" s="2" t="s">
        <v>45</v>
      </c>
      <c r="H208" s="2" t="s">
        <v>10</v>
      </c>
      <c r="I208" s="2" t="s">
        <v>34</v>
      </c>
      <c r="J208" s="2" t="s">
        <v>58</v>
      </c>
      <c r="K208" s="3">
        <v>269.64</v>
      </c>
      <c r="L208" s="3">
        <v>32.36</v>
      </c>
    </row>
    <row r="209" spans="1:12" ht="20.100000000000001" customHeight="1" x14ac:dyDescent="0.25">
      <c r="A209" s="2" t="s">
        <v>15</v>
      </c>
      <c r="B209" s="2" t="s">
        <v>6</v>
      </c>
      <c r="C209" s="2" t="s">
        <v>117</v>
      </c>
      <c r="D209" s="2" t="s">
        <v>118</v>
      </c>
      <c r="E209" s="2" t="s">
        <v>295</v>
      </c>
      <c r="F209" s="2" t="s">
        <v>115</v>
      </c>
      <c r="G209" s="2" t="s">
        <v>120</v>
      </c>
      <c r="H209" s="2" t="s">
        <v>10</v>
      </c>
      <c r="I209" s="2" t="s">
        <v>34</v>
      </c>
      <c r="J209" s="2" t="s">
        <v>51</v>
      </c>
      <c r="K209" s="3">
        <v>267.35000000000002</v>
      </c>
      <c r="L209" s="3">
        <v>32.08</v>
      </c>
    </row>
    <row r="210" spans="1:12" ht="20.100000000000001" customHeight="1" x14ac:dyDescent="0.25">
      <c r="A210" s="2" t="s">
        <v>15</v>
      </c>
      <c r="B210" s="2" t="s">
        <v>7</v>
      </c>
      <c r="C210" s="2" t="s">
        <v>125</v>
      </c>
      <c r="D210" s="2" t="s">
        <v>30</v>
      </c>
      <c r="E210" s="2" t="s">
        <v>296</v>
      </c>
      <c r="F210" s="2" t="s">
        <v>127</v>
      </c>
      <c r="G210" s="2" t="s">
        <v>33</v>
      </c>
      <c r="H210" s="2" t="s">
        <v>10</v>
      </c>
      <c r="I210" s="2" t="s">
        <v>34</v>
      </c>
      <c r="J210" s="2" t="s">
        <v>58</v>
      </c>
      <c r="K210" s="3">
        <v>265.60000000000002</v>
      </c>
      <c r="L210" s="3">
        <v>10.62</v>
      </c>
    </row>
    <row r="211" spans="1:12" ht="20.100000000000001" customHeight="1" x14ac:dyDescent="0.25">
      <c r="A211" s="2" t="s">
        <v>15</v>
      </c>
      <c r="B211" s="2" t="s">
        <v>5</v>
      </c>
      <c r="C211" s="2" t="s">
        <v>137</v>
      </c>
      <c r="D211" s="2" t="s">
        <v>138</v>
      </c>
      <c r="E211" s="2" t="s">
        <v>297</v>
      </c>
      <c r="F211" s="2" t="s">
        <v>298</v>
      </c>
      <c r="G211" s="2" t="s">
        <v>45</v>
      </c>
      <c r="H211" s="2" t="s">
        <v>10</v>
      </c>
      <c r="I211" s="2" t="s">
        <v>34</v>
      </c>
      <c r="J211" s="2" t="s">
        <v>51</v>
      </c>
      <c r="K211" s="3">
        <v>265.10000000000002</v>
      </c>
      <c r="L211" s="3">
        <v>31.81</v>
      </c>
    </row>
    <row r="212" spans="1:12" ht="20.100000000000001" customHeight="1" x14ac:dyDescent="0.25">
      <c r="A212" s="2" t="s">
        <v>15</v>
      </c>
      <c r="B212" s="2" t="s">
        <v>6</v>
      </c>
      <c r="C212" s="2" t="s">
        <v>161</v>
      </c>
      <c r="D212" s="2" t="s">
        <v>63</v>
      </c>
      <c r="E212" s="2" t="s">
        <v>299</v>
      </c>
      <c r="F212" s="2" t="s">
        <v>163</v>
      </c>
      <c r="G212" s="2" t="s">
        <v>33</v>
      </c>
      <c r="H212" s="2" t="s">
        <v>10</v>
      </c>
      <c r="I212" s="2" t="s">
        <v>34</v>
      </c>
      <c r="J212" s="2" t="s">
        <v>58</v>
      </c>
      <c r="K212" s="3">
        <v>263.39999999999998</v>
      </c>
      <c r="L212" s="3">
        <v>11.41</v>
      </c>
    </row>
    <row r="213" spans="1:12" ht="20.100000000000001" customHeight="1" x14ac:dyDescent="0.25">
      <c r="A213" s="2" t="s">
        <v>9</v>
      </c>
      <c r="B213" s="2" t="s">
        <v>2</v>
      </c>
      <c r="C213" s="2" t="s">
        <v>75</v>
      </c>
      <c r="D213" s="2" t="s">
        <v>37</v>
      </c>
      <c r="E213" s="2" t="s">
        <v>300</v>
      </c>
      <c r="F213" s="2" t="s">
        <v>129</v>
      </c>
      <c r="G213" s="2" t="s">
        <v>78</v>
      </c>
      <c r="H213" s="2" t="s">
        <v>10</v>
      </c>
      <c r="I213" s="2" t="s">
        <v>34</v>
      </c>
      <c r="J213" s="2" t="s">
        <v>130</v>
      </c>
      <c r="K213" s="3">
        <v>260</v>
      </c>
      <c r="L213" s="3">
        <v>0</v>
      </c>
    </row>
    <row r="214" spans="1:12" ht="20.100000000000001" customHeight="1" x14ac:dyDescent="0.25">
      <c r="A214" s="2" t="s">
        <v>15</v>
      </c>
      <c r="B214" s="2" t="s">
        <v>3</v>
      </c>
      <c r="C214" s="2" t="s">
        <v>54</v>
      </c>
      <c r="D214" s="2" t="s">
        <v>55</v>
      </c>
      <c r="E214" s="2" t="s">
        <v>301</v>
      </c>
      <c r="F214" s="2" t="s">
        <v>73</v>
      </c>
      <c r="G214" s="2" t="s">
        <v>45</v>
      </c>
      <c r="H214" s="2" t="s">
        <v>10</v>
      </c>
      <c r="I214" s="2" t="s">
        <v>34</v>
      </c>
      <c r="J214" s="2" t="s">
        <v>74</v>
      </c>
      <c r="K214" s="3">
        <v>259.72000000000003</v>
      </c>
      <c r="L214" s="3">
        <v>31.17</v>
      </c>
    </row>
    <row r="215" spans="1:12" ht="20.100000000000001" customHeight="1" x14ac:dyDescent="0.25">
      <c r="A215" s="2" t="s">
        <v>15</v>
      </c>
      <c r="B215" s="2" t="s">
        <v>3</v>
      </c>
      <c r="C215" s="2" t="s">
        <v>96</v>
      </c>
      <c r="D215" s="2" t="s">
        <v>63</v>
      </c>
      <c r="E215" s="2" t="s">
        <v>302</v>
      </c>
      <c r="F215" s="2" t="s">
        <v>163</v>
      </c>
      <c r="G215" s="2" t="s">
        <v>33</v>
      </c>
      <c r="H215" s="2" t="s">
        <v>10</v>
      </c>
      <c r="I215" s="2" t="s">
        <v>34</v>
      </c>
      <c r="J215" s="2" t="s">
        <v>58</v>
      </c>
      <c r="K215" s="3">
        <v>259.2</v>
      </c>
      <c r="L215" s="3">
        <v>10.37</v>
      </c>
    </row>
    <row r="216" spans="1:12" ht="20.100000000000001" customHeight="1" x14ac:dyDescent="0.25">
      <c r="A216" s="2" t="s">
        <v>15</v>
      </c>
      <c r="B216" s="2" t="s">
        <v>3</v>
      </c>
      <c r="C216" s="2" t="s">
        <v>219</v>
      </c>
      <c r="D216" s="2" t="s">
        <v>63</v>
      </c>
      <c r="E216" s="2" t="s">
        <v>303</v>
      </c>
      <c r="F216" s="2" t="s">
        <v>127</v>
      </c>
      <c r="G216" s="2" t="s">
        <v>33</v>
      </c>
      <c r="H216" s="2" t="s">
        <v>10</v>
      </c>
      <c r="I216" s="2" t="s">
        <v>34</v>
      </c>
      <c r="J216" s="2" t="s">
        <v>58</v>
      </c>
      <c r="K216" s="3">
        <v>259.10000000000002</v>
      </c>
      <c r="L216" s="3">
        <v>10.36</v>
      </c>
    </row>
    <row r="217" spans="1:12" ht="20.100000000000001" customHeight="1" x14ac:dyDescent="0.25">
      <c r="A217" s="2" t="s">
        <v>15</v>
      </c>
      <c r="B217" s="2" t="s">
        <v>6</v>
      </c>
      <c r="C217" s="2" t="s">
        <v>96</v>
      </c>
      <c r="D217" s="2" t="s">
        <v>63</v>
      </c>
      <c r="E217" s="2" t="s">
        <v>304</v>
      </c>
      <c r="F217" s="2" t="s">
        <v>163</v>
      </c>
      <c r="G217" s="2" t="s">
        <v>33</v>
      </c>
      <c r="H217" s="2" t="s">
        <v>10</v>
      </c>
      <c r="I217" s="2" t="s">
        <v>34</v>
      </c>
      <c r="J217" s="2" t="s">
        <v>58</v>
      </c>
      <c r="K217" s="3">
        <v>259</v>
      </c>
      <c r="L217" s="3">
        <v>10.36</v>
      </c>
    </row>
    <row r="218" spans="1:12" ht="20.100000000000001" customHeight="1" x14ac:dyDescent="0.25">
      <c r="A218" s="2" t="s">
        <v>15</v>
      </c>
      <c r="B218" s="2" t="s">
        <v>3</v>
      </c>
      <c r="C218" s="2" t="s">
        <v>96</v>
      </c>
      <c r="D218" s="2" t="s">
        <v>63</v>
      </c>
      <c r="E218" s="2" t="s">
        <v>305</v>
      </c>
      <c r="F218" s="2" t="s">
        <v>163</v>
      </c>
      <c r="G218" s="2" t="s">
        <v>33</v>
      </c>
      <c r="H218" s="2" t="s">
        <v>10</v>
      </c>
      <c r="I218" s="2" t="s">
        <v>34</v>
      </c>
      <c r="J218" s="2" t="s">
        <v>58</v>
      </c>
      <c r="K218" s="3">
        <v>259</v>
      </c>
      <c r="L218" s="3">
        <v>10.36</v>
      </c>
    </row>
    <row r="219" spans="1:12" ht="20.100000000000001" customHeight="1" x14ac:dyDescent="0.25">
      <c r="A219" s="2" t="s">
        <v>15</v>
      </c>
      <c r="B219" s="2" t="s">
        <v>3</v>
      </c>
      <c r="C219" s="2" t="s">
        <v>133</v>
      </c>
      <c r="D219" s="2" t="s">
        <v>134</v>
      </c>
      <c r="E219" s="2" t="s">
        <v>306</v>
      </c>
      <c r="F219" s="2" t="s">
        <v>258</v>
      </c>
      <c r="G219" s="2" t="s">
        <v>120</v>
      </c>
      <c r="H219" s="2" t="s">
        <v>10</v>
      </c>
      <c r="I219" s="2" t="s">
        <v>34</v>
      </c>
      <c r="J219" s="2" t="s">
        <v>58</v>
      </c>
      <c r="K219" s="3">
        <v>256.68</v>
      </c>
      <c r="L219" s="3">
        <v>30.8</v>
      </c>
    </row>
    <row r="220" spans="1:12" ht="20.100000000000001" customHeight="1" x14ac:dyDescent="0.25">
      <c r="A220" s="2" t="s">
        <v>15</v>
      </c>
      <c r="B220" s="2" t="s">
        <v>5</v>
      </c>
      <c r="C220" s="2" t="s">
        <v>111</v>
      </c>
      <c r="D220" s="2" t="s">
        <v>30</v>
      </c>
      <c r="E220" s="2" t="s">
        <v>307</v>
      </c>
      <c r="F220" s="2" t="s">
        <v>102</v>
      </c>
      <c r="G220" s="2" t="s">
        <v>124</v>
      </c>
      <c r="H220" s="2" t="s">
        <v>10</v>
      </c>
      <c r="I220" s="2" t="s">
        <v>34</v>
      </c>
      <c r="J220" s="2" t="s">
        <v>74</v>
      </c>
      <c r="K220" s="3">
        <v>255.96</v>
      </c>
      <c r="L220" s="3">
        <v>31.48</v>
      </c>
    </row>
    <row r="221" spans="1:12" ht="20.100000000000001" customHeight="1" x14ac:dyDescent="0.25">
      <c r="A221" s="2" t="s">
        <v>15</v>
      </c>
      <c r="B221" s="2" t="s">
        <v>6</v>
      </c>
      <c r="C221" s="2" t="s">
        <v>117</v>
      </c>
      <c r="D221" s="2" t="s">
        <v>118</v>
      </c>
      <c r="E221" s="2" t="s">
        <v>308</v>
      </c>
      <c r="F221" s="2" t="s">
        <v>115</v>
      </c>
      <c r="G221" s="2" t="s">
        <v>120</v>
      </c>
      <c r="H221" s="2" t="s">
        <v>10</v>
      </c>
      <c r="I221" s="2" t="s">
        <v>34</v>
      </c>
      <c r="J221" s="2" t="s">
        <v>51</v>
      </c>
      <c r="K221" s="3">
        <v>255.21</v>
      </c>
      <c r="L221" s="3">
        <v>30.63</v>
      </c>
    </row>
    <row r="222" spans="1:12" ht="20.100000000000001" customHeight="1" x14ac:dyDescent="0.25">
      <c r="A222" s="2" t="s">
        <v>15</v>
      </c>
      <c r="B222" s="2" t="s">
        <v>7</v>
      </c>
      <c r="C222" s="2" t="s">
        <v>184</v>
      </c>
      <c r="D222" s="2" t="s">
        <v>55</v>
      </c>
      <c r="E222" s="2" t="s">
        <v>309</v>
      </c>
      <c r="F222" s="2" t="s">
        <v>186</v>
      </c>
      <c r="G222" s="2" t="s">
        <v>45</v>
      </c>
      <c r="H222" s="2" t="s">
        <v>10</v>
      </c>
      <c r="I222" s="2" t="s">
        <v>34</v>
      </c>
      <c r="J222" s="2" t="s">
        <v>58</v>
      </c>
      <c r="K222" s="3">
        <v>253.7</v>
      </c>
      <c r="L222" s="3">
        <v>30.96</v>
      </c>
    </row>
    <row r="223" spans="1:12" ht="20.100000000000001" customHeight="1" x14ac:dyDescent="0.25">
      <c r="A223" s="2" t="s">
        <v>15</v>
      </c>
      <c r="B223" s="2" t="s">
        <v>6</v>
      </c>
      <c r="C223" s="2" t="s">
        <v>96</v>
      </c>
      <c r="D223" s="2" t="s">
        <v>63</v>
      </c>
      <c r="E223" s="2" t="s">
        <v>310</v>
      </c>
      <c r="F223" s="2" t="s">
        <v>163</v>
      </c>
      <c r="G223" s="2" t="s">
        <v>33</v>
      </c>
      <c r="H223" s="2" t="s">
        <v>10</v>
      </c>
      <c r="I223" s="2" t="s">
        <v>34</v>
      </c>
      <c r="J223" s="2" t="s">
        <v>46</v>
      </c>
      <c r="K223" s="3">
        <v>252.6</v>
      </c>
      <c r="L223" s="3">
        <v>10.1</v>
      </c>
    </row>
    <row r="224" spans="1:12" ht="20.100000000000001" customHeight="1" x14ac:dyDescent="0.25">
      <c r="A224" s="2" t="s">
        <v>15</v>
      </c>
      <c r="B224" s="2" t="s">
        <v>3</v>
      </c>
      <c r="C224" s="2" t="s">
        <v>80</v>
      </c>
      <c r="D224" s="2" t="s">
        <v>37</v>
      </c>
      <c r="E224" s="2" t="s">
        <v>311</v>
      </c>
      <c r="F224" s="2" t="s">
        <v>82</v>
      </c>
      <c r="G224" s="2" t="s">
        <v>83</v>
      </c>
      <c r="H224" s="2" t="s">
        <v>10</v>
      </c>
      <c r="I224" s="2" t="s">
        <v>34</v>
      </c>
      <c r="J224" s="2" t="s">
        <v>84</v>
      </c>
      <c r="K224" s="3">
        <v>252.18</v>
      </c>
      <c r="L224" s="3">
        <v>27.52</v>
      </c>
    </row>
    <row r="225" spans="1:12" ht="20.100000000000001" customHeight="1" x14ac:dyDescent="0.25">
      <c r="A225" s="2" t="s">
        <v>15</v>
      </c>
      <c r="B225" s="2" t="s">
        <v>3</v>
      </c>
      <c r="C225" s="2" t="s">
        <v>88</v>
      </c>
      <c r="D225" s="2" t="s">
        <v>30</v>
      </c>
      <c r="E225" s="2" t="s">
        <v>312</v>
      </c>
      <c r="F225" s="2" t="s">
        <v>90</v>
      </c>
      <c r="G225" s="2" t="s">
        <v>33</v>
      </c>
      <c r="H225" s="2" t="s">
        <v>10</v>
      </c>
      <c r="I225" s="2" t="s">
        <v>34</v>
      </c>
      <c r="J225" s="2" t="s">
        <v>58</v>
      </c>
      <c r="K225" s="3">
        <v>252</v>
      </c>
      <c r="L225" s="3">
        <v>28.73</v>
      </c>
    </row>
    <row r="226" spans="1:12" ht="20.100000000000001" customHeight="1" x14ac:dyDescent="0.25">
      <c r="A226" s="2" t="s">
        <v>15</v>
      </c>
      <c r="B226" s="2" t="s">
        <v>4</v>
      </c>
      <c r="C226" s="2" t="s">
        <v>88</v>
      </c>
      <c r="D226" s="2" t="s">
        <v>30</v>
      </c>
      <c r="E226" s="2" t="s">
        <v>313</v>
      </c>
      <c r="F226" s="2" t="s">
        <v>90</v>
      </c>
      <c r="G226" s="2" t="s">
        <v>33</v>
      </c>
      <c r="H226" s="2" t="s">
        <v>10</v>
      </c>
      <c r="I226" s="2" t="s">
        <v>34</v>
      </c>
      <c r="J226" s="2" t="s">
        <v>58</v>
      </c>
      <c r="K226" s="3">
        <v>252</v>
      </c>
      <c r="L226" s="3">
        <v>28.73</v>
      </c>
    </row>
    <row r="227" spans="1:12" ht="20.100000000000001" customHeight="1" x14ac:dyDescent="0.25">
      <c r="A227" s="2" t="s">
        <v>15</v>
      </c>
      <c r="B227" s="2" t="s">
        <v>5</v>
      </c>
      <c r="C227" s="2" t="s">
        <v>100</v>
      </c>
      <c r="D227" s="2" t="s">
        <v>37</v>
      </c>
      <c r="E227" s="2" t="s">
        <v>314</v>
      </c>
      <c r="F227" s="2" t="s">
        <v>286</v>
      </c>
      <c r="G227" s="2" t="s">
        <v>83</v>
      </c>
      <c r="H227" s="2" t="s">
        <v>10</v>
      </c>
      <c r="I227" s="2" t="s">
        <v>34</v>
      </c>
      <c r="J227" s="2" t="s">
        <v>58</v>
      </c>
      <c r="K227" s="3">
        <v>251.6</v>
      </c>
      <c r="L227" s="3">
        <v>27.45</v>
      </c>
    </row>
    <row r="228" spans="1:12" ht="20.100000000000001" customHeight="1" x14ac:dyDescent="0.25">
      <c r="A228" s="2" t="s">
        <v>15</v>
      </c>
      <c r="B228" s="2" t="s">
        <v>5</v>
      </c>
      <c r="C228" s="2" t="s">
        <v>137</v>
      </c>
      <c r="D228" s="2" t="s">
        <v>138</v>
      </c>
      <c r="E228" s="2" t="s">
        <v>315</v>
      </c>
      <c r="F228" s="2" t="s">
        <v>140</v>
      </c>
      <c r="G228" s="2" t="s">
        <v>45</v>
      </c>
      <c r="H228" s="2" t="s">
        <v>10</v>
      </c>
      <c r="I228" s="2" t="s">
        <v>34</v>
      </c>
      <c r="J228" s="2" t="s">
        <v>58</v>
      </c>
      <c r="K228" s="3">
        <v>251.22</v>
      </c>
      <c r="L228" s="3">
        <v>30.14</v>
      </c>
    </row>
    <row r="229" spans="1:12" ht="20.100000000000001" customHeight="1" x14ac:dyDescent="0.25">
      <c r="A229" s="2" t="s">
        <v>15</v>
      </c>
      <c r="B229" s="2" t="s">
        <v>2</v>
      </c>
      <c r="C229" s="2" t="s">
        <v>238</v>
      </c>
      <c r="D229" s="2" t="s">
        <v>30</v>
      </c>
      <c r="E229" s="2" t="s">
        <v>316</v>
      </c>
      <c r="F229" s="2" t="s">
        <v>279</v>
      </c>
      <c r="G229" s="2" t="s">
        <v>33</v>
      </c>
      <c r="H229" s="2" t="s">
        <v>10</v>
      </c>
      <c r="I229" s="2" t="s">
        <v>34</v>
      </c>
      <c r="J229" s="2" t="s">
        <v>237</v>
      </c>
      <c r="K229" s="3">
        <v>251.16</v>
      </c>
      <c r="L229" s="3">
        <v>10.050000000000001</v>
      </c>
    </row>
    <row r="230" spans="1:12" ht="20.100000000000001" customHeight="1" x14ac:dyDescent="0.25">
      <c r="A230" s="2" t="s">
        <v>15</v>
      </c>
      <c r="B230" s="2" t="s">
        <v>2</v>
      </c>
      <c r="C230" s="2" t="s">
        <v>238</v>
      </c>
      <c r="D230" s="2" t="s">
        <v>30</v>
      </c>
      <c r="E230" s="2" t="s">
        <v>317</v>
      </c>
      <c r="F230" s="2" t="s">
        <v>279</v>
      </c>
      <c r="G230" s="2" t="s">
        <v>33</v>
      </c>
      <c r="H230" s="2" t="s">
        <v>10</v>
      </c>
      <c r="I230" s="2" t="s">
        <v>34</v>
      </c>
      <c r="J230" s="2" t="s">
        <v>237</v>
      </c>
      <c r="K230" s="3">
        <v>250.71</v>
      </c>
      <c r="L230" s="3">
        <v>10.029999999999999</v>
      </c>
    </row>
    <row r="231" spans="1:12" ht="20.100000000000001" customHeight="1" x14ac:dyDescent="0.25">
      <c r="A231" s="2" t="s">
        <v>15</v>
      </c>
      <c r="B231" s="2" t="s">
        <v>2</v>
      </c>
      <c r="C231" s="2" t="s">
        <v>238</v>
      </c>
      <c r="D231" s="2" t="s">
        <v>30</v>
      </c>
      <c r="E231" s="2" t="s">
        <v>318</v>
      </c>
      <c r="F231" s="2" t="s">
        <v>240</v>
      </c>
      <c r="G231" s="2" t="s">
        <v>120</v>
      </c>
      <c r="H231" s="2" t="s">
        <v>10</v>
      </c>
      <c r="I231" s="2" t="s">
        <v>34</v>
      </c>
      <c r="J231" s="2" t="s">
        <v>58</v>
      </c>
      <c r="K231" s="3">
        <v>250.5</v>
      </c>
      <c r="L231" s="3">
        <v>10.02</v>
      </c>
    </row>
    <row r="232" spans="1:12" ht="20.100000000000001" customHeight="1" x14ac:dyDescent="0.25">
      <c r="A232" s="2" t="s">
        <v>15</v>
      </c>
      <c r="B232" s="2" t="s">
        <v>3</v>
      </c>
      <c r="C232" s="2" t="s">
        <v>219</v>
      </c>
      <c r="D232" s="2" t="s">
        <v>138</v>
      </c>
      <c r="E232" s="2" t="s">
        <v>177</v>
      </c>
      <c r="F232" s="2" t="s">
        <v>127</v>
      </c>
      <c r="G232" s="2" t="s">
        <v>33</v>
      </c>
      <c r="H232" s="2" t="s">
        <v>10</v>
      </c>
      <c r="I232" s="2" t="s">
        <v>34</v>
      </c>
      <c r="J232" s="2" t="s">
        <v>58</v>
      </c>
      <c r="K232" s="3">
        <v>249.9</v>
      </c>
      <c r="L232" s="3">
        <v>10</v>
      </c>
    </row>
    <row r="233" spans="1:12" ht="20.100000000000001" customHeight="1" x14ac:dyDescent="0.25">
      <c r="A233" s="2" t="s">
        <v>15</v>
      </c>
      <c r="B233" s="2" t="s">
        <v>3</v>
      </c>
      <c r="C233" s="2" t="s">
        <v>96</v>
      </c>
      <c r="D233" s="2" t="s">
        <v>63</v>
      </c>
      <c r="E233" s="2" t="s">
        <v>287</v>
      </c>
      <c r="F233" s="2" t="s">
        <v>163</v>
      </c>
      <c r="G233" s="2" t="s">
        <v>33</v>
      </c>
      <c r="H233" s="2" t="s">
        <v>10</v>
      </c>
      <c r="I233" s="2" t="s">
        <v>34</v>
      </c>
      <c r="J233" s="2" t="s">
        <v>58</v>
      </c>
      <c r="K233" s="3">
        <v>249.75</v>
      </c>
      <c r="L233" s="3">
        <v>9.99</v>
      </c>
    </row>
    <row r="234" spans="1:12" ht="20.100000000000001" customHeight="1" x14ac:dyDescent="0.25">
      <c r="A234" s="2" t="s">
        <v>15</v>
      </c>
      <c r="B234" s="2" t="s">
        <v>5</v>
      </c>
      <c r="C234" s="2" t="s">
        <v>71</v>
      </c>
      <c r="D234" s="2" t="s">
        <v>63</v>
      </c>
      <c r="E234" s="2" t="s">
        <v>319</v>
      </c>
      <c r="F234" s="2" t="s">
        <v>110</v>
      </c>
      <c r="G234" s="2" t="s">
        <v>33</v>
      </c>
      <c r="H234" s="2" t="s">
        <v>10</v>
      </c>
      <c r="I234" s="2" t="s">
        <v>34</v>
      </c>
      <c r="J234" s="2" t="s">
        <v>74</v>
      </c>
      <c r="K234" s="3">
        <v>248.7</v>
      </c>
      <c r="L234" s="3">
        <v>9.9499999999999993</v>
      </c>
    </row>
    <row r="235" spans="1:12" ht="20.100000000000001" customHeight="1" x14ac:dyDescent="0.25">
      <c r="A235" s="2" t="s">
        <v>15</v>
      </c>
      <c r="B235" s="2" t="s">
        <v>4</v>
      </c>
      <c r="C235" s="2" t="s">
        <v>201</v>
      </c>
      <c r="D235" s="2" t="s">
        <v>138</v>
      </c>
      <c r="E235" s="2" t="s">
        <v>320</v>
      </c>
      <c r="F235" s="2" t="s">
        <v>203</v>
      </c>
      <c r="G235" s="2" t="s">
        <v>45</v>
      </c>
      <c r="H235" s="2" t="s">
        <v>10</v>
      </c>
      <c r="I235" s="2" t="s">
        <v>34</v>
      </c>
      <c r="J235" s="2" t="s">
        <v>46</v>
      </c>
      <c r="K235" s="3">
        <v>247.04</v>
      </c>
      <c r="L235" s="3">
        <v>29.64</v>
      </c>
    </row>
    <row r="236" spans="1:12" ht="20.100000000000001" customHeight="1" x14ac:dyDescent="0.25">
      <c r="A236" s="2" t="s">
        <v>15</v>
      </c>
      <c r="B236" s="2" t="s">
        <v>5</v>
      </c>
      <c r="C236" s="2" t="s">
        <v>137</v>
      </c>
      <c r="D236" s="2" t="s">
        <v>138</v>
      </c>
      <c r="E236" s="2" t="s">
        <v>321</v>
      </c>
      <c r="F236" s="2" t="s">
        <v>195</v>
      </c>
      <c r="G236" s="2" t="s">
        <v>45</v>
      </c>
      <c r="H236" s="2" t="s">
        <v>10</v>
      </c>
      <c r="I236" s="2" t="s">
        <v>34</v>
      </c>
      <c r="J236" s="2" t="s">
        <v>58</v>
      </c>
      <c r="K236" s="3">
        <v>245</v>
      </c>
      <c r="L236" s="3">
        <v>29.4</v>
      </c>
    </row>
    <row r="237" spans="1:12" ht="20.100000000000001" customHeight="1" x14ac:dyDescent="0.25">
      <c r="A237" s="2" t="s">
        <v>15</v>
      </c>
      <c r="B237" s="2" t="s">
        <v>7</v>
      </c>
      <c r="C237" s="2" t="s">
        <v>111</v>
      </c>
      <c r="D237" s="2" t="s">
        <v>30</v>
      </c>
      <c r="E237" s="2" t="s">
        <v>307</v>
      </c>
      <c r="F237" s="2" t="s">
        <v>102</v>
      </c>
      <c r="G237" s="2" t="s">
        <v>124</v>
      </c>
      <c r="H237" s="2" t="s">
        <v>10</v>
      </c>
      <c r="I237" s="2" t="s">
        <v>34</v>
      </c>
      <c r="J237" s="2" t="s">
        <v>74</v>
      </c>
      <c r="K237" s="3">
        <v>240.48</v>
      </c>
      <c r="L237" s="3">
        <v>28.86</v>
      </c>
    </row>
    <row r="238" spans="1:12" ht="20.100000000000001" customHeight="1" x14ac:dyDescent="0.25">
      <c r="A238" s="2" t="s">
        <v>15</v>
      </c>
      <c r="B238" s="2" t="s">
        <v>4</v>
      </c>
      <c r="C238" s="2" t="s">
        <v>201</v>
      </c>
      <c r="D238" s="2" t="s">
        <v>138</v>
      </c>
      <c r="E238" s="2" t="s">
        <v>322</v>
      </c>
      <c r="F238" s="2" t="s">
        <v>203</v>
      </c>
      <c r="G238" s="2" t="s">
        <v>45</v>
      </c>
      <c r="H238" s="2" t="s">
        <v>10</v>
      </c>
      <c r="I238" s="2" t="s">
        <v>34</v>
      </c>
      <c r="J238" s="2" t="s">
        <v>46</v>
      </c>
      <c r="K238" s="3">
        <v>240</v>
      </c>
      <c r="L238" s="3">
        <v>28.8</v>
      </c>
    </row>
    <row r="239" spans="1:12" ht="20.100000000000001" customHeight="1" x14ac:dyDescent="0.25">
      <c r="A239" s="2" t="s">
        <v>15</v>
      </c>
      <c r="B239" s="2" t="s">
        <v>4</v>
      </c>
      <c r="C239" s="2" t="s">
        <v>201</v>
      </c>
      <c r="D239" s="2" t="s">
        <v>138</v>
      </c>
      <c r="E239" s="2" t="s">
        <v>323</v>
      </c>
      <c r="F239" s="2" t="s">
        <v>203</v>
      </c>
      <c r="G239" s="2" t="s">
        <v>45</v>
      </c>
      <c r="H239" s="2" t="s">
        <v>10</v>
      </c>
      <c r="I239" s="2" t="s">
        <v>34</v>
      </c>
      <c r="J239" s="2" t="s">
        <v>46</v>
      </c>
      <c r="K239" s="3">
        <v>240</v>
      </c>
      <c r="L239" s="3">
        <v>28.8</v>
      </c>
    </row>
    <row r="240" spans="1:12" ht="20.100000000000001" customHeight="1" x14ac:dyDescent="0.25">
      <c r="A240" s="2" t="s">
        <v>15</v>
      </c>
      <c r="B240" s="2" t="s">
        <v>5</v>
      </c>
      <c r="C240" s="2" t="s">
        <v>111</v>
      </c>
      <c r="D240" s="2" t="s">
        <v>30</v>
      </c>
      <c r="E240" s="2" t="s">
        <v>324</v>
      </c>
      <c r="F240" s="2" t="s">
        <v>200</v>
      </c>
      <c r="G240" s="2" t="s">
        <v>45</v>
      </c>
      <c r="H240" s="2" t="s">
        <v>10</v>
      </c>
      <c r="I240" s="2" t="s">
        <v>34</v>
      </c>
      <c r="J240" s="2" t="s">
        <v>58</v>
      </c>
      <c r="K240" s="3">
        <v>239.16</v>
      </c>
      <c r="L240" s="3">
        <v>29.42</v>
      </c>
    </row>
    <row r="241" spans="1:12" ht="20.100000000000001" customHeight="1" x14ac:dyDescent="0.25">
      <c r="A241" s="2" t="s">
        <v>15</v>
      </c>
      <c r="B241" s="2" t="s">
        <v>4</v>
      </c>
      <c r="C241" s="2" t="s">
        <v>111</v>
      </c>
      <c r="D241" s="2" t="s">
        <v>30</v>
      </c>
      <c r="E241" s="2" t="s">
        <v>324</v>
      </c>
      <c r="F241" s="2" t="s">
        <v>200</v>
      </c>
      <c r="G241" s="2" t="s">
        <v>45</v>
      </c>
      <c r="H241" s="2" t="s">
        <v>10</v>
      </c>
      <c r="I241" s="2" t="s">
        <v>34</v>
      </c>
      <c r="J241" s="2" t="s">
        <v>58</v>
      </c>
      <c r="K241" s="3">
        <v>239.16</v>
      </c>
      <c r="L241" s="3">
        <v>30.09</v>
      </c>
    </row>
    <row r="242" spans="1:12" ht="20.100000000000001" customHeight="1" x14ac:dyDescent="0.25">
      <c r="A242" s="2" t="s">
        <v>15</v>
      </c>
      <c r="B242" s="2" t="s">
        <v>2</v>
      </c>
      <c r="C242" s="2" t="s">
        <v>111</v>
      </c>
      <c r="D242" s="2" t="s">
        <v>30</v>
      </c>
      <c r="E242" s="2" t="s">
        <v>324</v>
      </c>
      <c r="F242" s="2" t="s">
        <v>200</v>
      </c>
      <c r="G242" s="2" t="s">
        <v>45</v>
      </c>
      <c r="H242" s="2" t="s">
        <v>10</v>
      </c>
      <c r="I242" s="2" t="s">
        <v>34</v>
      </c>
      <c r="J242" s="2" t="s">
        <v>58</v>
      </c>
      <c r="K242" s="3">
        <v>239.16</v>
      </c>
      <c r="L242" s="3">
        <v>28.7</v>
      </c>
    </row>
    <row r="243" spans="1:12" ht="20.100000000000001" customHeight="1" x14ac:dyDescent="0.25">
      <c r="A243" s="2" t="s">
        <v>15</v>
      </c>
      <c r="B243" s="2" t="s">
        <v>3</v>
      </c>
      <c r="C243" s="2" t="s">
        <v>133</v>
      </c>
      <c r="D243" s="2" t="s">
        <v>134</v>
      </c>
      <c r="E243" s="2" t="s">
        <v>325</v>
      </c>
      <c r="F243" s="2" t="s">
        <v>258</v>
      </c>
      <c r="G243" s="2" t="s">
        <v>120</v>
      </c>
      <c r="H243" s="2" t="s">
        <v>10</v>
      </c>
      <c r="I243" s="2" t="s">
        <v>34</v>
      </c>
      <c r="J243" s="2" t="s">
        <v>58</v>
      </c>
      <c r="K243" s="3">
        <v>238.68</v>
      </c>
      <c r="L243" s="3">
        <v>28.64</v>
      </c>
    </row>
    <row r="244" spans="1:12" ht="20.100000000000001" customHeight="1" x14ac:dyDescent="0.25">
      <c r="A244" s="2" t="s">
        <v>15</v>
      </c>
      <c r="B244" s="2" t="s">
        <v>6</v>
      </c>
      <c r="C244" s="2" t="s">
        <v>96</v>
      </c>
      <c r="D244" s="2" t="s">
        <v>63</v>
      </c>
      <c r="E244" s="2" t="s">
        <v>326</v>
      </c>
      <c r="F244" s="2" t="s">
        <v>163</v>
      </c>
      <c r="G244" s="2" t="s">
        <v>33</v>
      </c>
      <c r="H244" s="2" t="s">
        <v>10</v>
      </c>
      <c r="I244" s="2" t="s">
        <v>34</v>
      </c>
      <c r="J244" s="2" t="s">
        <v>46</v>
      </c>
      <c r="K244" s="3">
        <v>237.59</v>
      </c>
      <c r="L244" s="3">
        <v>9.5</v>
      </c>
    </row>
    <row r="245" spans="1:12" ht="20.100000000000001" customHeight="1" x14ac:dyDescent="0.25">
      <c r="A245" s="2" t="s">
        <v>15</v>
      </c>
      <c r="B245" s="2" t="s">
        <v>7</v>
      </c>
      <c r="C245" s="2" t="s">
        <v>96</v>
      </c>
      <c r="D245" s="2" t="s">
        <v>63</v>
      </c>
      <c r="E245" s="2" t="s">
        <v>327</v>
      </c>
      <c r="F245" s="2" t="s">
        <v>163</v>
      </c>
      <c r="G245" s="2" t="s">
        <v>33</v>
      </c>
      <c r="H245" s="2" t="s">
        <v>10</v>
      </c>
      <c r="I245" s="2" t="s">
        <v>34</v>
      </c>
      <c r="J245" s="2" t="s">
        <v>46</v>
      </c>
      <c r="K245" s="3">
        <v>236.97</v>
      </c>
      <c r="L245" s="3">
        <v>9.48</v>
      </c>
    </row>
    <row r="246" spans="1:12" ht="20.100000000000001" customHeight="1" x14ac:dyDescent="0.25">
      <c r="A246" s="2" t="s">
        <v>15</v>
      </c>
      <c r="B246" s="2" t="s">
        <v>6</v>
      </c>
      <c r="C246" s="2" t="s">
        <v>117</v>
      </c>
      <c r="D246" s="2" t="s">
        <v>118</v>
      </c>
      <c r="E246" s="2" t="s">
        <v>328</v>
      </c>
      <c r="F246" s="2" t="s">
        <v>115</v>
      </c>
      <c r="G246" s="2" t="s">
        <v>120</v>
      </c>
      <c r="H246" s="2" t="s">
        <v>10</v>
      </c>
      <c r="I246" s="2" t="s">
        <v>34</v>
      </c>
      <c r="J246" s="2" t="s">
        <v>51</v>
      </c>
      <c r="K246" s="3">
        <v>236.26</v>
      </c>
      <c r="L246" s="3">
        <v>28.35</v>
      </c>
    </row>
    <row r="247" spans="1:12" ht="20.100000000000001" customHeight="1" x14ac:dyDescent="0.25">
      <c r="A247" s="2" t="s">
        <v>15</v>
      </c>
      <c r="B247" s="2" t="s">
        <v>7</v>
      </c>
      <c r="C247" s="2" t="s">
        <v>184</v>
      </c>
      <c r="D247" s="2" t="s">
        <v>55</v>
      </c>
      <c r="E247" s="2" t="s">
        <v>329</v>
      </c>
      <c r="F247" s="2" t="s">
        <v>186</v>
      </c>
      <c r="G247" s="2" t="s">
        <v>45</v>
      </c>
      <c r="H247" s="2" t="s">
        <v>10</v>
      </c>
      <c r="I247" s="2" t="s">
        <v>34</v>
      </c>
      <c r="J247" s="2" t="s">
        <v>74</v>
      </c>
      <c r="K247" s="3">
        <v>234.81</v>
      </c>
      <c r="L247" s="3">
        <v>28.65</v>
      </c>
    </row>
    <row r="248" spans="1:12" ht="20.100000000000001" customHeight="1" x14ac:dyDescent="0.25">
      <c r="A248" s="2" t="s">
        <v>15</v>
      </c>
      <c r="B248" s="2" t="s">
        <v>6</v>
      </c>
      <c r="C248" s="2" t="s">
        <v>96</v>
      </c>
      <c r="D248" s="2" t="s">
        <v>63</v>
      </c>
      <c r="E248" s="2" t="s">
        <v>330</v>
      </c>
      <c r="F248" s="2" t="s">
        <v>163</v>
      </c>
      <c r="G248" s="2" t="s">
        <v>33</v>
      </c>
      <c r="H248" s="2" t="s">
        <v>10</v>
      </c>
      <c r="I248" s="2" t="s">
        <v>34</v>
      </c>
      <c r="J248" s="2" t="s">
        <v>46</v>
      </c>
      <c r="K248" s="3">
        <v>233.13</v>
      </c>
      <c r="L248" s="3">
        <v>9.33</v>
      </c>
    </row>
    <row r="249" spans="1:12" ht="20.100000000000001" customHeight="1" x14ac:dyDescent="0.25">
      <c r="A249" s="2" t="s">
        <v>15</v>
      </c>
      <c r="B249" s="2" t="s">
        <v>4</v>
      </c>
      <c r="C249" s="2" t="s">
        <v>201</v>
      </c>
      <c r="D249" s="2" t="s">
        <v>138</v>
      </c>
      <c r="E249" s="2" t="s">
        <v>331</v>
      </c>
      <c r="F249" s="2" t="s">
        <v>203</v>
      </c>
      <c r="G249" s="2" t="s">
        <v>45</v>
      </c>
      <c r="H249" s="2" t="s">
        <v>10</v>
      </c>
      <c r="I249" s="2" t="s">
        <v>34</v>
      </c>
      <c r="J249" s="2" t="s">
        <v>58</v>
      </c>
      <c r="K249" s="3">
        <v>230</v>
      </c>
      <c r="L249" s="3">
        <v>27.6</v>
      </c>
    </row>
    <row r="250" spans="1:12" ht="20.100000000000001" customHeight="1" x14ac:dyDescent="0.25">
      <c r="A250" s="2" t="s">
        <v>15</v>
      </c>
      <c r="B250" s="2" t="s">
        <v>5</v>
      </c>
      <c r="C250" s="2" t="s">
        <v>80</v>
      </c>
      <c r="D250" s="2" t="s">
        <v>37</v>
      </c>
      <c r="E250" s="2" t="s">
        <v>332</v>
      </c>
      <c r="F250" s="2" t="s">
        <v>82</v>
      </c>
      <c r="G250" s="2" t="s">
        <v>83</v>
      </c>
      <c r="H250" s="2" t="s">
        <v>10</v>
      </c>
      <c r="I250" s="2" t="s">
        <v>34</v>
      </c>
      <c r="J250" s="2" t="s">
        <v>84</v>
      </c>
      <c r="K250" s="3">
        <v>227.88</v>
      </c>
      <c r="L250" s="3">
        <v>24.86</v>
      </c>
    </row>
    <row r="251" spans="1:12" ht="20.100000000000001" customHeight="1" x14ac:dyDescent="0.25">
      <c r="A251" s="2" t="s">
        <v>15</v>
      </c>
      <c r="B251" s="2" t="s">
        <v>3</v>
      </c>
      <c r="C251" s="2" t="s">
        <v>80</v>
      </c>
      <c r="D251" s="2" t="s">
        <v>37</v>
      </c>
      <c r="E251" s="2" t="s">
        <v>332</v>
      </c>
      <c r="F251" s="2" t="s">
        <v>82</v>
      </c>
      <c r="G251" s="2" t="s">
        <v>83</v>
      </c>
      <c r="H251" s="2" t="s">
        <v>10</v>
      </c>
      <c r="I251" s="2" t="s">
        <v>34</v>
      </c>
      <c r="J251" s="2" t="s">
        <v>84</v>
      </c>
      <c r="K251" s="3">
        <v>227.88</v>
      </c>
      <c r="L251" s="3">
        <v>24.87</v>
      </c>
    </row>
    <row r="252" spans="1:12" ht="20.100000000000001" customHeight="1" x14ac:dyDescent="0.25">
      <c r="A252" s="2" t="s">
        <v>15</v>
      </c>
      <c r="B252" s="2" t="s">
        <v>3</v>
      </c>
      <c r="C252" s="2" t="s">
        <v>80</v>
      </c>
      <c r="D252" s="2" t="s">
        <v>37</v>
      </c>
      <c r="E252" s="2" t="s">
        <v>333</v>
      </c>
      <c r="F252" s="2" t="s">
        <v>82</v>
      </c>
      <c r="G252" s="2" t="s">
        <v>83</v>
      </c>
      <c r="H252" s="2" t="s">
        <v>10</v>
      </c>
      <c r="I252" s="2" t="s">
        <v>34</v>
      </c>
      <c r="J252" s="2" t="s">
        <v>84</v>
      </c>
      <c r="K252" s="3">
        <v>226.8</v>
      </c>
      <c r="L252" s="3">
        <v>24.75</v>
      </c>
    </row>
    <row r="253" spans="1:12" ht="20.100000000000001" customHeight="1" x14ac:dyDescent="0.25">
      <c r="A253" s="2" t="s">
        <v>15</v>
      </c>
      <c r="B253" s="2" t="s">
        <v>5</v>
      </c>
      <c r="C253" s="2" t="s">
        <v>80</v>
      </c>
      <c r="D253" s="2" t="s">
        <v>37</v>
      </c>
      <c r="E253" s="2" t="s">
        <v>334</v>
      </c>
      <c r="F253" s="2" t="s">
        <v>82</v>
      </c>
      <c r="G253" s="2" t="s">
        <v>83</v>
      </c>
      <c r="H253" s="2" t="s">
        <v>10</v>
      </c>
      <c r="I253" s="2" t="s">
        <v>34</v>
      </c>
      <c r="J253" s="2" t="s">
        <v>84</v>
      </c>
      <c r="K253" s="3">
        <v>225.45</v>
      </c>
      <c r="L253" s="3">
        <v>24.59</v>
      </c>
    </row>
    <row r="254" spans="1:12" ht="20.100000000000001" customHeight="1" x14ac:dyDescent="0.25">
      <c r="A254" s="2" t="s">
        <v>15</v>
      </c>
      <c r="B254" s="2" t="s">
        <v>5</v>
      </c>
      <c r="C254" s="2" t="s">
        <v>137</v>
      </c>
      <c r="D254" s="2" t="s">
        <v>138</v>
      </c>
      <c r="E254" s="2" t="s">
        <v>335</v>
      </c>
      <c r="F254" s="2" t="s">
        <v>195</v>
      </c>
      <c r="G254" s="2" t="s">
        <v>45</v>
      </c>
      <c r="H254" s="2" t="s">
        <v>10</v>
      </c>
      <c r="I254" s="2" t="s">
        <v>34</v>
      </c>
      <c r="J254" s="2" t="s">
        <v>58</v>
      </c>
      <c r="K254" s="3">
        <v>220</v>
      </c>
      <c r="L254" s="3">
        <v>26.4</v>
      </c>
    </row>
    <row r="255" spans="1:12" ht="20.100000000000001" customHeight="1" x14ac:dyDescent="0.25">
      <c r="A255" s="2" t="s">
        <v>15</v>
      </c>
      <c r="B255" s="2" t="s">
        <v>4</v>
      </c>
      <c r="C255" s="2" t="s">
        <v>111</v>
      </c>
      <c r="D255" s="2" t="s">
        <v>30</v>
      </c>
      <c r="E255" s="2" t="s">
        <v>199</v>
      </c>
      <c r="F255" s="2" t="s">
        <v>200</v>
      </c>
      <c r="G255" s="2" t="s">
        <v>45</v>
      </c>
      <c r="H255" s="2" t="s">
        <v>10</v>
      </c>
      <c r="I255" s="2" t="s">
        <v>34</v>
      </c>
      <c r="J255" s="2" t="s">
        <v>58</v>
      </c>
      <c r="K255" s="3">
        <v>218.66</v>
      </c>
      <c r="L255" s="3">
        <v>27.51</v>
      </c>
    </row>
    <row r="256" spans="1:12" ht="20.100000000000001" customHeight="1" x14ac:dyDescent="0.25">
      <c r="A256" s="2" t="s">
        <v>15</v>
      </c>
      <c r="B256" s="2" t="s">
        <v>2</v>
      </c>
      <c r="C256" s="2" t="s">
        <v>111</v>
      </c>
      <c r="D256" s="2" t="s">
        <v>30</v>
      </c>
      <c r="E256" s="2" t="s">
        <v>199</v>
      </c>
      <c r="F256" s="2" t="s">
        <v>200</v>
      </c>
      <c r="G256" s="2" t="s">
        <v>45</v>
      </c>
      <c r="H256" s="2" t="s">
        <v>10</v>
      </c>
      <c r="I256" s="2" t="s">
        <v>34</v>
      </c>
      <c r="J256" s="2" t="s">
        <v>58</v>
      </c>
      <c r="K256" s="3">
        <v>218.66</v>
      </c>
      <c r="L256" s="3">
        <v>26.24</v>
      </c>
    </row>
    <row r="257" spans="1:12" ht="20.100000000000001" customHeight="1" x14ac:dyDescent="0.25">
      <c r="A257" s="2" t="s">
        <v>15</v>
      </c>
      <c r="B257" s="2" t="s">
        <v>3</v>
      </c>
      <c r="C257" s="2" t="s">
        <v>106</v>
      </c>
      <c r="D257" s="2" t="s">
        <v>30</v>
      </c>
      <c r="E257" s="2" t="s">
        <v>336</v>
      </c>
      <c r="F257" s="2" t="s">
        <v>110</v>
      </c>
      <c r="G257" s="2" t="s">
        <v>33</v>
      </c>
      <c r="H257" s="2" t="s">
        <v>10</v>
      </c>
      <c r="I257" s="2" t="s">
        <v>34</v>
      </c>
      <c r="J257" s="2" t="s">
        <v>58</v>
      </c>
      <c r="K257" s="3">
        <v>217.68</v>
      </c>
      <c r="L257" s="3">
        <v>8.9499999999999993</v>
      </c>
    </row>
    <row r="258" spans="1:12" ht="20.100000000000001" customHeight="1" x14ac:dyDescent="0.25">
      <c r="A258" s="2" t="s">
        <v>15</v>
      </c>
      <c r="B258" s="2" t="s">
        <v>6</v>
      </c>
      <c r="C258" s="2" t="s">
        <v>117</v>
      </c>
      <c r="D258" s="2" t="s">
        <v>118</v>
      </c>
      <c r="E258" s="2" t="s">
        <v>337</v>
      </c>
      <c r="F258" s="2" t="s">
        <v>115</v>
      </c>
      <c r="G258" s="2" t="s">
        <v>120</v>
      </c>
      <c r="H258" s="2" t="s">
        <v>10</v>
      </c>
      <c r="I258" s="2" t="s">
        <v>34</v>
      </c>
      <c r="J258" s="2" t="s">
        <v>51</v>
      </c>
      <c r="K258" s="3">
        <v>217.49</v>
      </c>
      <c r="L258" s="3">
        <v>26.1</v>
      </c>
    </row>
    <row r="259" spans="1:12" ht="20.100000000000001" customHeight="1" x14ac:dyDescent="0.25">
      <c r="A259" s="2" t="s">
        <v>15</v>
      </c>
      <c r="B259" s="2" t="s">
        <v>6</v>
      </c>
      <c r="C259" s="2" t="s">
        <v>161</v>
      </c>
      <c r="D259" s="2" t="s">
        <v>63</v>
      </c>
      <c r="E259" s="2" t="s">
        <v>338</v>
      </c>
      <c r="F259" s="2" t="s">
        <v>163</v>
      </c>
      <c r="G259" s="2" t="s">
        <v>33</v>
      </c>
      <c r="H259" s="2" t="s">
        <v>10</v>
      </c>
      <c r="I259" s="2" t="s">
        <v>34</v>
      </c>
      <c r="J259" s="2" t="s">
        <v>58</v>
      </c>
      <c r="K259" s="3">
        <v>217.35</v>
      </c>
      <c r="L259" s="3">
        <v>9.42</v>
      </c>
    </row>
    <row r="260" spans="1:12" ht="20.100000000000001" customHeight="1" x14ac:dyDescent="0.25">
      <c r="A260" s="2" t="s">
        <v>15</v>
      </c>
      <c r="B260" s="2" t="s">
        <v>5</v>
      </c>
      <c r="C260" s="2" t="s">
        <v>339</v>
      </c>
      <c r="D260" s="2" t="s">
        <v>118</v>
      </c>
      <c r="E260" s="2" t="s">
        <v>340</v>
      </c>
      <c r="F260" s="2" t="s">
        <v>341</v>
      </c>
      <c r="G260" s="2" t="s">
        <v>33</v>
      </c>
      <c r="H260" s="2" t="s">
        <v>10</v>
      </c>
      <c r="I260" s="2" t="s">
        <v>34</v>
      </c>
      <c r="J260" s="2" t="s">
        <v>58</v>
      </c>
      <c r="K260" s="3">
        <v>215.62</v>
      </c>
      <c r="L260" s="3">
        <v>8.6199999999999992</v>
      </c>
    </row>
    <row r="261" spans="1:12" ht="20.100000000000001" customHeight="1" x14ac:dyDescent="0.25">
      <c r="A261" s="2" t="s">
        <v>15</v>
      </c>
      <c r="B261" s="2" t="s">
        <v>2</v>
      </c>
      <c r="C261" s="2" t="s">
        <v>238</v>
      </c>
      <c r="D261" s="2" t="s">
        <v>30</v>
      </c>
      <c r="E261" s="2" t="s">
        <v>342</v>
      </c>
      <c r="F261" s="2" t="s">
        <v>240</v>
      </c>
      <c r="G261" s="2" t="s">
        <v>120</v>
      </c>
      <c r="H261" s="2" t="s">
        <v>10</v>
      </c>
      <c r="I261" s="2" t="s">
        <v>34</v>
      </c>
      <c r="J261" s="2" t="s">
        <v>58</v>
      </c>
      <c r="K261" s="3">
        <v>215.55</v>
      </c>
      <c r="L261" s="3">
        <v>8.6199999999999992</v>
      </c>
    </row>
    <row r="262" spans="1:12" ht="20.100000000000001" customHeight="1" x14ac:dyDescent="0.25">
      <c r="A262" s="2" t="s">
        <v>15</v>
      </c>
      <c r="B262" s="2" t="s">
        <v>3</v>
      </c>
      <c r="C262" s="2" t="s">
        <v>260</v>
      </c>
      <c r="D262" s="2" t="s">
        <v>55</v>
      </c>
      <c r="E262" s="2" t="s">
        <v>343</v>
      </c>
      <c r="F262" s="2" t="s">
        <v>262</v>
      </c>
      <c r="G262" s="2" t="s">
        <v>124</v>
      </c>
      <c r="H262" s="2" t="s">
        <v>10</v>
      </c>
      <c r="I262" s="2" t="s">
        <v>34</v>
      </c>
      <c r="J262" s="2" t="s">
        <v>46</v>
      </c>
      <c r="K262" s="3">
        <v>214.2</v>
      </c>
      <c r="L262" s="3">
        <v>25.7</v>
      </c>
    </row>
    <row r="263" spans="1:12" ht="20.100000000000001" customHeight="1" x14ac:dyDescent="0.25">
      <c r="A263" s="2" t="s">
        <v>15</v>
      </c>
      <c r="B263" s="2" t="s">
        <v>3</v>
      </c>
      <c r="C263" s="2" t="s">
        <v>260</v>
      </c>
      <c r="D263" s="2" t="s">
        <v>55</v>
      </c>
      <c r="E263" s="2" t="s">
        <v>344</v>
      </c>
      <c r="F263" s="2" t="s">
        <v>262</v>
      </c>
      <c r="G263" s="2" t="s">
        <v>124</v>
      </c>
      <c r="H263" s="2" t="s">
        <v>10</v>
      </c>
      <c r="I263" s="2" t="s">
        <v>34</v>
      </c>
      <c r="J263" s="2" t="s">
        <v>46</v>
      </c>
      <c r="K263" s="3">
        <v>214.2</v>
      </c>
      <c r="L263" s="3">
        <v>25.7</v>
      </c>
    </row>
    <row r="264" spans="1:12" ht="20.100000000000001" customHeight="1" x14ac:dyDescent="0.25">
      <c r="A264" s="2" t="s">
        <v>15</v>
      </c>
      <c r="B264" s="2" t="s">
        <v>5</v>
      </c>
      <c r="C264" s="2" t="s">
        <v>100</v>
      </c>
      <c r="D264" s="2" t="s">
        <v>37</v>
      </c>
      <c r="E264" s="2" t="s">
        <v>345</v>
      </c>
      <c r="F264" s="2" t="s">
        <v>115</v>
      </c>
      <c r="G264" s="2" t="s">
        <v>83</v>
      </c>
      <c r="H264" s="2" t="s">
        <v>10</v>
      </c>
      <c r="I264" s="2" t="s">
        <v>34</v>
      </c>
      <c r="J264" s="2" t="s">
        <v>51</v>
      </c>
      <c r="K264" s="3">
        <v>213</v>
      </c>
      <c r="L264" s="3">
        <v>42.6</v>
      </c>
    </row>
    <row r="265" spans="1:12" ht="20.100000000000001" customHeight="1" x14ac:dyDescent="0.25">
      <c r="A265" s="2" t="s">
        <v>15</v>
      </c>
      <c r="B265" s="2" t="s">
        <v>7</v>
      </c>
      <c r="C265" s="2" t="s">
        <v>96</v>
      </c>
      <c r="D265" s="2" t="s">
        <v>63</v>
      </c>
      <c r="E265" s="2" t="s">
        <v>346</v>
      </c>
      <c r="F265" s="2" t="s">
        <v>163</v>
      </c>
      <c r="G265" s="2" t="s">
        <v>33</v>
      </c>
      <c r="H265" s="2" t="s">
        <v>10</v>
      </c>
      <c r="I265" s="2" t="s">
        <v>34</v>
      </c>
      <c r="J265" s="2" t="s">
        <v>58</v>
      </c>
      <c r="K265" s="3">
        <v>211.15</v>
      </c>
      <c r="L265" s="3">
        <v>8.4499999999999993</v>
      </c>
    </row>
    <row r="266" spans="1:12" ht="20.100000000000001" customHeight="1" x14ac:dyDescent="0.25">
      <c r="A266" s="2" t="s">
        <v>15</v>
      </c>
      <c r="B266" s="2" t="s">
        <v>6</v>
      </c>
      <c r="C266" s="2" t="s">
        <v>96</v>
      </c>
      <c r="D266" s="2" t="s">
        <v>63</v>
      </c>
      <c r="E266" s="2" t="s">
        <v>347</v>
      </c>
      <c r="F266" s="2" t="s">
        <v>348</v>
      </c>
      <c r="G266" s="2" t="s">
        <v>33</v>
      </c>
      <c r="H266" s="2" t="s">
        <v>10</v>
      </c>
      <c r="I266" s="2" t="s">
        <v>34</v>
      </c>
      <c r="J266" s="2" t="s">
        <v>84</v>
      </c>
      <c r="K266" s="3">
        <v>210.62</v>
      </c>
      <c r="L266" s="3">
        <v>8.42</v>
      </c>
    </row>
    <row r="267" spans="1:12" ht="20.100000000000001" customHeight="1" x14ac:dyDescent="0.25">
      <c r="A267" s="2" t="s">
        <v>15</v>
      </c>
      <c r="B267" s="2" t="s">
        <v>7</v>
      </c>
      <c r="C267" s="2" t="s">
        <v>167</v>
      </c>
      <c r="D267" s="2" t="s">
        <v>37</v>
      </c>
      <c r="E267" s="2" t="s">
        <v>349</v>
      </c>
      <c r="F267" s="2" t="s">
        <v>115</v>
      </c>
      <c r="G267" s="2" t="s">
        <v>83</v>
      </c>
      <c r="H267" s="2" t="s">
        <v>10</v>
      </c>
      <c r="I267" s="2" t="s">
        <v>34</v>
      </c>
      <c r="J267" s="2" t="s">
        <v>51</v>
      </c>
      <c r="K267" s="3">
        <v>210.4</v>
      </c>
      <c r="L267" s="3">
        <v>0</v>
      </c>
    </row>
    <row r="268" spans="1:12" ht="20.100000000000001" customHeight="1" x14ac:dyDescent="0.25">
      <c r="A268" s="2" t="s">
        <v>15</v>
      </c>
      <c r="B268" s="2" t="s">
        <v>6</v>
      </c>
      <c r="C268" s="2" t="s">
        <v>117</v>
      </c>
      <c r="D268" s="2" t="s">
        <v>118</v>
      </c>
      <c r="E268" s="2" t="s">
        <v>350</v>
      </c>
      <c r="F268" s="2" t="s">
        <v>115</v>
      </c>
      <c r="G268" s="2" t="s">
        <v>120</v>
      </c>
      <c r="H268" s="2" t="s">
        <v>10</v>
      </c>
      <c r="I268" s="2" t="s">
        <v>34</v>
      </c>
      <c r="J268" s="2" t="s">
        <v>51</v>
      </c>
      <c r="K268" s="3">
        <v>207.92</v>
      </c>
      <c r="L268" s="3">
        <v>24.95</v>
      </c>
    </row>
    <row r="269" spans="1:12" ht="20.100000000000001" customHeight="1" x14ac:dyDescent="0.25">
      <c r="A269" s="2" t="s">
        <v>15</v>
      </c>
      <c r="B269" s="2" t="s">
        <v>6</v>
      </c>
      <c r="C269" s="2" t="s">
        <v>210</v>
      </c>
      <c r="D269" s="2" t="s">
        <v>134</v>
      </c>
      <c r="E269" s="2" t="s">
        <v>351</v>
      </c>
      <c r="F269" s="2" t="s">
        <v>212</v>
      </c>
      <c r="G269" s="2" t="s">
        <v>120</v>
      </c>
      <c r="H269" s="2" t="s">
        <v>10</v>
      </c>
      <c r="I269" s="2" t="s">
        <v>34</v>
      </c>
      <c r="J269" s="2" t="s">
        <v>35</v>
      </c>
      <c r="K269" s="3">
        <v>207.44</v>
      </c>
      <c r="L269" s="3">
        <v>24.97</v>
      </c>
    </row>
    <row r="270" spans="1:12" ht="20.100000000000001" customHeight="1" x14ac:dyDescent="0.25">
      <c r="A270" s="2" t="s">
        <v>15</v>
      </c>
      <c r="B270" s="2" t="s">
        <v>7</v>
      </c>
      <c r="C270" s="2" t="s">
        <v>167</v>
      </c>
      <c r="D270" s="2" t="s">
        <v>37</v>
      </c>
      <c r="E270" s="2" t="s">
        <v>352</v>
      </c>
      <c r="F270" s="2" t="s">
        <v>169</v>
      </c>
      <c r="G270" s="2" t="s">
        <v>83</v>
      </c>
      <c r="H270" s="2" t="s">
        <v>10</v>
      </c>
      <c r="I270" s="2" t="s">
        <v>34</v>
      </c>
      <c r="J270" s="2" t="s">
        <v>51</v>
      </c>
      <c r="K270" s="3">
        <v>205.4</v>
      </c>
      <c r="L270" s="3">
        <v>0</v>
      </c>
    </row>
    <row r="271" spans="1:12" ht="20.100000000000001" customHeight="1" x14ac:dyDescent="0.25">
      <c r="A271" s="2" t="s">
        <v>15</v>
      </c>
      <c r="B271" s="2" t="s">
        <v>3</v>
      </c>
      <c r="C271" s="2" t="s">
        <v>222</v>
      </c>
      <c r="D271" s="2" t="s">
        <v>30</v>
      </c>
      <c r="E271" s="2" t="s">
        <v>353</v>
      </c>
      <c r="F271" s="2" t="s">
        <v>224</v>
      </c>
      <c r="G271" s="2" t="s">
        <v>45</v>
      </c>
      <c r="H271" s="2" t="s">
        <v>10</v>
      </c>
      <c r="I271" s="2" t="s">
        <v>34</v>
      </c>
      <c r="J271" s="2" t="s">
        <v>58</v>
      </c>
      <c r="K271" s="3">
        <v>204.48</v>
      </c>
      <c r="L271" s="3">
        <v>24.54</v>
      </c>
    </row>
    <row r="272" spans="1:12" ht="20.100000000000001" customHeight="1" x14ac:dyDescent="0.25">
      <c r="A272" s="2" t="s">
        <v>15</v>
      </c>
      <c r="B272" s="2" t="s">
        <v>6</v>
      </c>
      <c r="C272" s="2" t="s">
        <v>161</v>
      </c>
      <c r="D272" s="2" t="s">
        <v>63</v>
      </c>
      <c r="E272" s="2" t="s">
        <v>354</v>
      </c>
      <c r="F272" s="2" t="s">
        <v>163</v>
      </c>
      <c r="G272" s="2" t="s">
        <v>33</v>
      </c>
      <c r="H272" s="2" t="s">
        <v>10</v>
      </c>
      <c r="I272" s="2" t="s">
        <v>34</v>
      </c>
      <c r="J272" s="2" t="s">
        <v>58</v>
      </c>
      <c r="K272" s="3">
        <v>203.6</v>
      </c>
      <c r="L272" s="3">
        <v>8.82</v>
      </c>
    </row>
    <row r="273" spans="1:12" ht="20.100000000000001" customHeight="1" x14ac:dyDescent="0.25">
      <c r="A273" s="2" t="s">
        <v>15</v>
      </c>
      <c r="B273" s="2" t="s">
        <v>7</v>
      </c>
      <c r="C273" s="2" t="s">
        <v>184</v>
      </c>
      <c r="D273" s="2" t="s">
        <v>55</v>
      </c>
      <c r="E273" s="2" t="s">
        <v>355</v>
      </c>
      <c r="F273" s="2" t="s">
        <v>186</v>
      </c>
      <c r="G273" s="2" t="s">
        <v>45</v>
      </c>
      <c r="H273" s="2" t="s">
        <v>10</v>
      </c>
      <c r="I273" s="2" t="s">
        <v>34</v>
      </c>
      <c r="J273" s="2" t="s">
        <v>58</v>
      </c>
      <c r="K273" s="3">
        <v>202.96</v>
      </c>
      <c r="L273" s="3">
        <v>24.77</v>
      </c>
    </row>
    <row r="274" spans="1:12" ht="20.100000000000001" customHeight="1" x14ac:dyDescent="0.25">
      <c r="A274" s="2" t="s">
        <v>15</v>
      </c>
      <c r="B274" s="2" t="s">
        <v>6</v>
      </c>
      <c r="C274" s="2" t="s">
        <v>210</v>
      </c>
      <c r="D274" s="2" t="s">
        <v>134</v>
      </c>
      <c r="E274" s="2" t="s">
        <v>356</v>
      </c>
      <c r="F274" s="2" t="s">
        <v>266</v>
      </c>
      <c r="G274" s="2" t="s">
        <v>33</v>
      </c>
      <c r="H274" s="2" t="s">
        <v>10</v>
      </c>
      <c r="I274" s="2" t="s">
        <v>34</v>
      </c>
      <c r="J274" s="2" t="s">
        <v>267</v>
      </c>
      <c r="K274" s="3">
        <v>201.84</v>
      </c>
      <c r="L274" s="3">
        <v>24.3</v>
      </c>
    </row>
    <row r="275" spans="1:12" ht="20.100000000000001" customHeight="1" x14ac:dyDescent="0.25">
      <c r="A275" s="2" t="s">
        <v>15</v>
      </c>
      <c r="B275" s="2" t="s">
        <v>7</v>
      </c>
      <c r="C275" s="2" t="s">
        <v>96</v>
      </c>
      <c r="D275" s="2" t="s">
        <v>63</v>
      </c>
      <c r="E275" s="2" t="s">
        <v>357</v>
      </c>
      <c r="F275" s="2" t="s">
        <v>358</v>
      </c>
      <c r="G275" s="2" t="s">
        <v>33</v>
      </c>
      <c r="H275" s="2" t="s">
        <v>10</v>
      </c>
      <c r="I275" s="2" t="s">
        <v>34</v>
      </c>
      <c r="J275" s="2" t="s">
        <v>51</v>
      </c>
      <c r="K275" s="3">
        <v>200.98</v>
      </c>
      <c r="L275" s="3">
        <v>8.0399999999999991</v>
      </c>
    </row>
    <row r="276" spans="1:12" ht="20.100000000000001" customHeight="1" x14ac:dyDescent="0.25">
      <c r="A276" s="2" t="s">
        <v>9</v>
      </c>
      <c r="B276" s="2" t="s">
        <v>4</v>
      </c>
      <c r="C276" s="2" t="s">
        <v>93</v>
      </c>
      <c r="D276" s="2" t="s">
        <v>63</v>
      </c>
      <c r="E276" s="2" t="s">
        <v>104</v>
      </c>
      <c r="F276" s="2" t="s">
        <v>65</v>
      </c>
      <c r="G276" s="2" t="s">
        <v>45</v>
      </c>
      <c r="H276" s="2" t="s">
        <v>10</v>
      </c>
      <c r="I276" s="2" t="s">
        <v>34</v>
      </c>
      <c r="J276" s="2" t="s">
        <v>41</v>
      </c>
      <c r="K276" s="3">
        <v>198.45</v>
      </c>
      <c r="L276" s="3">
        <v>0</v>
      </c>
    </row>
    <row r="277" spans="1:12" ht="20.100000000000001" customHeight="1" x14ac:dyDescent="0.25">
      <c r="A277" s="2" t="s">
        <v>15</v>
      </c>
      <c r="B277" s="2" t="s">
        <v>5</v>
      </c>
      <c r="C277" s="2" t="s">
        <v>80</v>
      </c>
      <c r="D277" s="2" t="s">
        <v>37</v>
      </c>
      <c r="E277" s="2" t="s">
        <v>217</v>
      </c>
      <c r="F277" s="2" t="s">
        <v>82</v>
      </c>
      <c r="G277" s="2" t="s">
        <v>83</v>
      </c>
      <c r="H277" s="2" t="s">
        <v>10</v>
      </c>
      <c r="I277" s="2" t="s">
        <v>34</v>
      </c>
      <c r="J277" s="2" t="s">
        <v>84</v>
      </c>
      <c r="K277" s="3">
        <v>198.18</v>
      </c>
      <c r="L277" s="3">
        <v>21.62</v>
      </c>
    </row>
    <row r="278" spans="1:12" ht="20.100000000000001" customHeight="1" x14ac:dyDescent="0.25">
      <c r="A278" s="2" t="s">
        <v>15</v>
      </c>
      <c r="B278" s="2" t="s">
        <v>4</v>
      </c>
      <c r="C278" s="2" t="s">
        <v>62</v>
      </c>
      <c r="D278" s="2" t="s">
        <v>63</v>
      </c>
      <c r="E278" s="2" t="s">
        <v>359</v>
      </c>
      <c r="F278" s="2" t="s">
        <v>65</v>
      </c>
      <c r="G278" s="2" t="s">
        <v>45</v>
      </c>
      <c r="H278" s="2" t="s">
        <v>10</v>
      </c>
      <c r="I278" s="2" t="s">
        <v>34</v>
      </c>
      <c r="J278" s="2" t="s">
        <v>41</v>
      </c>
      <c r="K278" s="3">
        <v>198</v>
      </c>
      <c r="L278" s="3">
        <v>23.76</v>
      </c>
    </row>
    <row r="279" spans="1:12" ht="20.100000000000001" customHeight="1" x14ac:dyDescent="0.25">
      <c r="A279" s="2" t="s">
        <v>15</v>
      </c>
      <c r="B279" s="2" t="s">
        <v>3</v>
      </c>
      <c r="C279" s="2" t="s">
        <v>106</v>
      </c>
      <c r="D279" s="2" t="s">
        <v>30</v>
      </c>
      <c r="E279" s="2" t="s">
        <v>360</v>
      </c>
      <c r="F279" s="2" t="s">
        <v>110</v>
      </c>
      <c r="G279" s="2" t="s">
        <v>33</v>
      </c>
      <c r="H279" s="2" t="s">
        <v>10</v>
      </c>
      <c r="I279" s="2" t="s">
        <v>34</v>
      </c>
      <c r="J279" s="2" t="s">
        <v>58</v>
      </c>
      <c r="K279" s="3">
        <v>196.32</v>
      </c>
      <c r="L279" s="3">
        <v>8.07</v>
      </c>
    </row>
    <row r="280" spans="1:12" ht="20.100000000000001" customHeight="1" x14ac:dyDescent="0.25">
      <c r="A280" s="2" t="s">
        <v>15</v>
      </c>
      <c r="B280" s="2" t="s">
        <v>7</v>
      </c>
      <c r="C280" s="2" t="s">
        <v>96</v>
      </c>
      <c r="D280" s="2" t="s">
        <v>63</v>
      </c>
      <c r="E280" s="2" t="s">
        <v>361</v>
      </c>
      <c r="F280" s="2" t="s">
        <v>358</v>
      </c>
      <c r="G280" s="2" t="s">
        <v>33</v>
      </c>
      <c r="H280" s="2" t="s">
        <v>10</v>
      </c>
      <c r="I280" s="2" t="s">
        <v>34</v>
      </c>
      <c r="J280" s="2" t="s">
        <v>51</v>
      </c>
      <c r="K280" s="3">
        <v>195.49</v>
      </c>
      <c r="L280" s="3">
        <v>7.82</v>
      </c>
    </row>
    <row r="281" spans="1:12" ht="20.100000000000001" customHeight="1" x14ac:dyDescent="0.25">
      <c r="A281" s="2" t="s">
        <v>15</v>
      </c>
      <c r="B281" s="2" t="s">
        <v>5</v>
      </c>
      <c r="C281" s="2" t="s">
        <v>137</v>
      </c>
      <c r="D281" s="2" t="s">
        <v>138</v>
      </c>
      <c r="E281" s="2" t="s">
        <v>362</v>
      </c>
      <c r="F281" s="2" t="s">
        <v>140</v>
      </c>
      <c r="G281" s="2" t="s">
        <v>45</v>
      </c>
      <c r="H281" s="2" t="s">
        <v>10</v>
      </c>
      <c r="I281" s="2" t="s">
        <v>34</v>
      </c>
      <c r="J281" s="2" t="s">
        <v>58</v>
      </c>
      <c r="K281" s="3">
        <v>193.5</v>
      </c>
      <c r="L281" s="3">
        <v>23.22</v>
      </c>
    </row>
    <row r="282" spans="1:12" ht="20.100000000000001" customHeight="1" x14ac:dyDescent="0.25">
      <c r="A282" s="2" t="s">
        <v>15</v>
      </c>
      <c r="B282" s="2" t="s">
        <v>7</v>
      </c>
      <c r="C282" s="2" t="s">
        <v>100</v>
      </c>
      <c r="D282" s="2" t="s">
        <v>37</v>
      </c>
      <c r="E282" s="2" t="s">
        <v>363</v>
      </c>
      <c r="F282" s="2" t="s">
        <v>102</v>
      </c>
      <c r="G282" s="2" t="s">
        <v>83</v>
      </c>
      <c r="H282" s="2" t="s">
        <v>10</v>
      </c>
      <c r="I282" s="2" t="s">
        <v>34</v>
      </c>
      <c r="J282" s="2" t="s">
        <v>74</v>
      </c>
      <c r="K282" s="3">
        <v>190.3</v>
      </c>
      <c r="L282" s="3">
        <v>20.76</v>
      </c>
    </row>
    <row r="283" spans="1:12" ht="20.100000000000001" customHeight="1" x14ac:dyDescent="0.25">
      <c r="A283" s="2" t="s">
        <v>15</v>
      </c>
      <c r="B283" s="2" t="s">
        <v>6</v>
      </c>
      <c r="C283" s="2" t="s">
        <v>117</v>
      </c>
      <c r="D283" s="2" t="s">
        <v>118</v>
      </c>
      <c r="E283" s="2" t="s">
        <v>364</v>
      </c>
      <c r="F283" s="2" t="s">
        <v>115</v>
      </c>
      <c r="G283" s="2" t="s">
        <v>120</v>
      </c>
      <c r="H283" s="2" t="s">
        <v>10</v>
      </c>
      <c r="I283" s="2" t="s">
        <v>34</v>
      </c>
      <c r="J283" s="2" t="s">
        <v>51</v>
      </c>
      <c r="K283" s="3">
        <v>188.97</v>
      </c>
      <c r="L283" s="3">
        <v>22.68</v>
      </c>
    </row>
    <row r="284" spans="1:12" ht="20.100000000000001" customHeight="1" x14ac:dyDescent="0.25">
      <c r="A284" s="2" t="s">
        <v>15</v>
      </c>
      <c r="B284" s="2" t="s">
        <v>6</v>
      </c>
      <c r="C284" s="2" t="s">
        <v>142</v>
      </c>
      <c r="D284" s="2" t="s">
        <v>143</v>
      </c>
      <c r="E284" s="2" t="s">
        <v>365</v>
      </c>
      <c r="F284" s="2" t="s">
        <v>145</v>
      </c>
      <c r="G284" s="2" t="s">
        <v>45</v>
      </c>
      <c r="H284" s="2" t="s">
        <v>10</v>
      </c>
      <c r="I284" s="2" t="s">
        <v>34</v>
      </c>
      <c r="J284" s="2" t="s">
        <v>74</v>
      </c>
      <c r="K284" s="3">
        <v>188.64</v>
      </c>
      <c r="L284" s="3">
        <v>8.43</v>
      </c>
    </row>
    <row r="285" spans="1:12" ht="20.100000000000001" customHeight="1" x14ac:dyDescent="0.25">
      <c r="A285" s="2" t="s">
        <v>15</v>
      </c>
      <c r="B285" s="2" t="s">
        <v>5</v>
      </c>
      <c r="C285" s="2" t="s">
        <v>339</v>
      </c>
      <c r="D285" s="2" t="s">
        <v>118</v>
      </c>
      <c r="E285" s="2" t="s">
        <v>366</v>
      </c>
      <c r="F285" s="2" t="s">
        <v>258</v>
      </c>
      <c r="G285" s="2" t="s">
        <v>33</v>
      </c>
      <c r="H285" s="2" t="s">
        <v>10</v>
      </c>
      <c r="I285" s="2" t="s">
        <v>34</v>
      </c>
      <c r="J285" s="2" t="s">
        <v>58</v>
      </c>
      <c r="K285" s="3">
        <v>186.24</v>
      </c>
      <c r="L285" s="3">
        <v>7.45</v>
      </c>
    </row>
    <row r="286" spans="1:12" ht="20.100000000000001" customHeight="1" x14ac:dyDescent="0.25">
      <c r="A286" s="2" t="s">
        <v>15</v>
      </c>
      <c r="B286" s="2" t="s">
        <v>7</v>
      </c>
      <c r="C286" s="2" t="s">
        <v>100</v>
      </c>
      <c r="D286" s="2" t="s">
        <v>37</v>
      </c>
      <c r="E286" s="2" t="s">
        <v>367</v>
      </c>
      <c r="F286" s="2" t="s">
        <v>115</v>
      </c>
      <c r="G286" s="2" t="s">
        <v>83</v>
      </c>
      <c r="H286" s="2" t="s">
        <v>10</v>
      </c>
      <c r="I286" s="2" t="s">
        <v>34</v>
      </c>
      <c r="J286" s="2" t="s">
        <v>51</v>
      </c>
      <c r="K286" s="3">
        <v>185.47</v>
      </c>
      <c r="L286" s="3">
        <v>37.090000000000003</v>
      </c>
    </row>
    <row r="287" spans="1:12" ht="20.100000000000001" customHeight="1" x14ac:dyDescent="0.25">
      <c r="A287" s="2" t="s">
        <v>15</v>
      </c>
      <c r="B287" s="2" t="s">
        <v>3</v>
      </c>
      <c r="C287" s="2" t="s">
        <v>88</v>
      </c>
      <c r="D287" s="2" t="s">
        <v>30</v>
      </c>
      <c r="E287" s="2" t="s">
        <v>283</v>
      </c>
      <c r="F287" s="2" t="s">
        <v>90</v>
      </c>
      <c r="G287" s="2" t="s">
        <v>33</v>
      </c>
      <c r="H287" s="2" t="s">
        <v>10</v>
      </c>
      <c r="I287" s="2" t="s">
        <v>34</v>
      </c>
      <c r="J287" s="2" t="s">
        <v>58</v>
      </c>
      <c r="K287" s="3">
        <v>183.7</v>
      </c>
      <c r="L287" s="3">
        <v>20.94</v>
      </c>
    </row>
    <row r="288" spans="1:12" ht="20.100000000000001" customHeight="1" x14ac:dyDescent="0.25">
      <c r="A288" s="2" t="s">
        <v>15</v>
      </c>
      <c r="B288" s="2" t="s">
        <v>3</v>
      </c>
      <c r="C288" s="2" t="s">
        <v>133</v>
      </c>
      <c r="D288" s="2" t="s">
        <v>134</v>
      </c>
      <c r="E288" s="2" t="s">
        <v>368</v>
      </c>
      <c r="F288" s="2" t="s">
        <v>369</v>
      </c>
      <c r="G288" s="2" t="s">
        <v>120</v>
      </c>
      <c r="H288" s="2" t="s">
        <v>10</v>
      </c>
      <c r="I288" s="2" t="s">
        <v>34</v>
      </c>
      <c r="J288" s="2" t="s">
        <v>237</v>
      </c>
      <c r="K288" s="3">
        <v>183.54</v>
      </c>
      <c r="L288" s="3">
        <v>22.02</v>
      </c>
    </row>
    <row r="289" spans="1:12" ht="20.100000000000001" customHeight="1" x14ac:dyDescent="0.25">
      <c r="A289" s="2" t="s">
        <v>15</v>
      </c>
      <c r="B289" s="2" t="s">
        <v>3</v>
      </c>
      <c r="C289" s="2" t="s">
        <v>80</v>
      </c>
      <c r="D289" s="2" t="s">
        <v>37</v>
      </c>
      <c r="E289" s="2" t="s">
        <v>370</v>
      </c>
      <c r="F289" s="2" t="s">
        <v>82</v>
      </c>
      <c r="G289" s="2" t="s">
        <v>83</v>
      </c>
      <c r="H289" s="2" t="s">
        <v>10</v>
      </c>
      <c r="I289" s="2" t="s">
        <v>34</v>
      </c>
      <c r="J289" s="2" t="s">
        <v>84</v>
      </c>
      <c r="K289" s="3">
        <v>182.79</v>
      </c>
      <c r="L289" s="3">
        <v>19.940000000000001</v>
      </c>
    </row>
    <row r="290" spans="1:12" ht="20.100000000000001" customHeight="1" x14ac:dyDescent="0.25">
      <c r="A290" s="2" t="s">
        <v>15</v>
      </c>
      <c r="B290" s="2" t="s">
        <v>5</v>
      </c>
      <c r="C290" s="2" t="s">
        <v>339</v>
      </c>
      <c r="D290" s="2" t="s">
        <v>118</v>
      </c>
      <c r="E290" s="2" t="s">
        <v>371</v>
      </c>
      <c r="F290" s="2" t="s">
        <v>98</v>
      </c>
      <c r="G290" s="2" t="s">
        <v>33</v>
      </c>
      <c r="H290" s="2" t="s">
        <v>10</v>
      </c>
      <c r="I290" s="2" t="s">
        <v>34</v>
      </c>
      <c r="J290" s="2" t="s">
        <v>58</v>
      </c>
      <c r="K290" s="3">
        <v>182.55</v>
      </c>
      <c r="L290" s="3">
        <v>7.3</v>
      </c>
    </row>
    <row r="291" spans="1:12" ht="20.100000000000001" customHeight="1" x14ac:dyDescent="0.25">
      <c r="A291" s="2" t="s">
        <v>15</v>
      </c>
      <c r="B291" s="2" t="s">
        <v>5</v>
      </c>
      <c r="C291" s="2" t="s">
        <v>111</v>
      </c>
      <c r="D291" s="2" t="s">
        <v>30</v>
      </c>
      <c r="E291" s="2" t="s">
        <v>372</v>
      </c>
      <c r="F291" s="2" t="s">
        <v>206</v>
      </c>
      <c r="G291" s="2" t="s">
        <v>45</v>
      </c>
      <c r="H291" s="2" t="s">
        <v>10</v>
      </c>
      <c r="I291" s="2" t="s">
        <v>34</v>
      </c>
      <c r="J291" s="2" t="s">
        <v>58</v>
      </c>
      <c r="K291" s="3">
        <v>180.42</v>
      </c>
      <c r="L291" s="3">
        <v>22.2</v>
      </c>
    </row>
    <row r="292" spans="1:12" ht="20.100000000000001" customHeight="1" x14ac:dyDescent="0.25">
      <c r="A292" s="2" t="s">
        <v>15</v>
      </c>
      <c r="B292" s="2" t="s">
        <v>3</v>
      </c>
      <c r="C292" s="2" t="s">
        <v>96</v>
      </c>
      <c r="D292" s="2" t="s">
        <v>63</v>
      </c>
      <c r="E292" s="2" t="s">
        <v>373</v>
      </c>
      <c r="F292" s="2" t="s">
        <v>163</v>
      </c>
      <c r="G292" s="2" t="s">
        <v>33</v>
      </c>
      <c r="H292" s="2" t="s">
        <v>10</v>
      </c>
      <c r="I292" s="2" t="s">
        <v>34</v>
      </c>
      <c r="J292" s="2" t="s">
        <v>46</v>
      </c>
      <c r="K292" s="3">
        <v>180.33</v>
      </c>
      <c r="L292" s="3">
        <v>7.21</v>
      </c>
    </row>
    <row r="293" spans="1:12" ht="20.100000000000001" customHeight="1" x14ac:dyDescent="0.25">
      <c r="A293" s="2" t="s">
        <v>15</v>
      </c>
      <c r="B293" s="2" t="s">
        <v>3</v>
      </c>
      <c r="C293" s="2" t="s">
        <v>222</v>
      </c>
      <c r="D293" s="2" t="s">
        <v>30</v>
      </c>
      <c r="E293" s="2" t="s">
        <v>374</v>
      </c>
      <c r="F293" s="2" t="s">
        <v>224</v>
      </c>
      <c r="G293" s="2" t="s">
        <v>45</v>
      </c>
      <c r="H293" s="2" t="s">
        <v>10</v>
      </c>
      <c r="I293" s="2" t="s">
        <v>34</v>
      </c>
      <c r="J293" s="2" t="s">
        <v>58</v>
      </c>
      <c r="K293" s="3">
        <v>179.76</v>
      </c>
      <c r="L293" s="3">
        <v>21.57</v>
      </c>
    </row>
    <row r="294" spans="1:12" ht="20.100000000000001" customHeight="1" x14ac:dyDescent="0.25">
      <c r="A294" s="2" t="s">
        <v>15</v>
      </c>
      <c r="B294" s="2" t="s">
        <v>3</v>
      </c>
      <c r="C294" s="2" t="s">
        <v>222</v>
      </c>
      <c r="D294" s="2" t="s">
        <v>30</v>
      </c>
      <c r="E294" s="2" t="s">
        <v>375</v>
      </c>
      <c r="F294" s="2" t="s">
        <v>224</v>
      </c>
      <c r="G294" s="2" t="s">
        <v>45</v>
      </c>
      <c r="H294" s="2" t="s">
        <v>10</v>
      </c>
      <c r="I294" s="2" t="s">
        <v>34</v>
      </c>
      <c r="J294" s="2" t="s">
        <v>58</v>
      </c>
      <c r="K294" s="3">
        <v>179.76</v>
      </c>
      <c r="L294" s="3">
        <v>21.57</v>
      </c>
    </row>
    <row r="295" spans="1:12" ht="20.100000000000001" customHeight="1" x14ac:dyDescent="0.25">
      <c r="A295" s="2" t="s">
        <v>15</v>
      </c>
      <c r="B295" s="2" t="s">
        <v>3</v>
      </c>
      <c r="C295" s="2" t="s">
        <v>133</v>
      </c>
      <c r="D295" s="2" t="s">
        <v>134</v>
      </c>
      <c r="E295" s="2" t="s">
        <v>376</v>
      </c>
      <c r="F295" s="2" t="s">
        <v>369</v>
      </c>
      <c r="G295" s="2" t="s">
        <v>120</v>
      </c>
      <c r="H295" s="2" t="s">
        <v>10</v>
      </c>
      <c r="I295" s="2" t="s">
        <v>34</v>
      </c>
      <c r="J295" s="2" t="s">
        <v>237</v>
      </c>
      <c r="K295" s="3">
        <v>176.52</v>
      </c>
      <c r="L295" s="3">
        <v>21.18</v>
      </c>
    </row>
    <row r="296" spans="1:12" ht="20.100000000000001" customHeight="1" x14ac:dyDescent="0.25">
      <c r="A296" s="2" t="s">
        <v>15</v>
      </c>
      <c r="B296" s="2" t="s">
        <v>3</v>
      </c>
      <c r="C296" s="2" t="s">
        <v>219</v>
      </c>
      <c r="D296" s="2" t="s">
        <v>138</v>
      </c>
      <c r="E296" s="2" t="s">
        <v>377</v>
      </c>
      <c r="F296" s="2" t="s">
        <v>127</v>
      </c>
      <c r="G296" s="2" t="s">
        <v>33</v>
      </c>
      <c r="H296" s="2" t="s">
        <v>10</v>
      </c>
      <c r="I296" s="2" t="s">
        <v>34</v>
      </c>
      <c r="J296" s="2" t="s">
        <v>58</v>
      </c>
      <c r="K296" s="3">
        <v>176.4</v>
      </c>
      <c r="L296" s="3">
        <v>7.06</v>
      </c>
    </row>
    <row r="297" spans="1:12" ht="20.100000000000001" customHeight="1" x14ac:dyDescent="0.25">
      <c r="A297" s="2" t="s">
        <v>15</v>
      </c>
      <c r="B297" s="2" t="s">
        <v>3</v>
      </c>
      <c r="C297" s="2" t="s">
        <v>80</v>
      </c>
      <c r="D297" s="2" t="s">
        <v>37</v>
      </c>
      <c r="E297" s="2" t="s">
        <v>378</v>
      </c>
      <c r="F297" s="2" t="s">
        <v>82</v>
      </c>
      <c r="G297" s="2" t="s">
        <v>83</v>
      </c>
      <c r="H297" s="2" t="s">
        <v>10</v>
      </c>
      <c r="I297" s="2" t="s">
        <v>34</v>
      </c>
      <c r="J297" s="2" t="s">
        <v>84</v>
      </c>
      <c r="K297" s="3">
        <v>175.5</v>
      </c>
      <c r="L297" s="3">
        <v>19.149999999999999</v>
      </c>
    </row>
    <row r="298" spans="1:12" ht="20.100000000000001" customHeight="1" x14ac:dyDescent="0.25">
      <c r="A298" s="2" t="s">
        <v>15</v>
      </c>
      <c r="B298" s="2" t="s">
        <v>3</v>
      </c>
      <c r="C298" s="2" t="s">
        <v>96</v>
      </c>
      <c r="D298" s="2" t="s">
        <v>63</v>
      </c>
      <c r="E298" s="2" t="s">
        <v>379</v>
      </c>
      <c r="F298" s="2" t="s">
        <v>380</v>
      </c>
      <c r="G298" s="2" t="s">
        <v>33</v>
      </c>
      <c r="H298" s="2" t="s">
        <v>10</v>
      </c>
      <c r="I298" s="2" t="s">
        <v>34</v>
      </c>
      <c r="J298" s="2" t="s">
        <v>58</v>
      </c>
      <c r="K298" s="3">
        <v>174.8</v>
      </c>
      <c r="L298" s="3">
        <v>6.99</v>
      </c>
    </row>
    <row r="299" spans="1:12" ht="20.100000000000001" customHeight="1" x14ac:dyDescent="0.25">
      <c r="A299" s="2" t="s">
        <v>15</v>
      </c>
      <c r="B299" s="2" t="s">
        <v>3</v>
      </c>
      <c r="C299" s="2" t="s">
        <v>96</v>
      </c>
      <c r="D299" s="2" t="s">
        <v>63</v>
      </c>
      <c r="E299" s="2" t="s">
        <v>381</v>
      </c>
      <c r="F299" s="2" t="s">
        <v>382</v>
      </c>
      <c r="G299" s="2" t="s">
        <v>33</v>
      </c>
      <c r="H299" s="2" t="s">
        <v>10</v>
      </c>
      <c r="I299" s="2" t="s">
        <v>34</v>
      </c>
      <c r="J299" s="2" t="s">
        <v>58</v>
      </c>
      <c r="K299" s="3">
        <v>174.8</v>
      </c>
      <c r="L299" s="3">
        <v>6.99</v>
      </c>
    </row>
    <row r="300" spans="1:12" ht="20.100000000000001" customHeight="1" x14ac:dyDescent="0.25">
      <c r="A300" s="2" t="s">
        <v>15</v>
      </c>
      <c r="B300" s="2" t="s">
        <v>7</v>
      </c>
      <c r="C300" s="2" t="s">
        <v>62</v>
      </c>
      <c r="D300" s="2" t="s">
        <v>63</v>
      </c>
      <c r="E300" s="2" t="s">
        <v>253</v>
      </c>
      <c r="F300" s="2" t="s">
        <v>65</v>
      </c>
      <c r="G300" s="2" t="s">
        <v>45</v>
      </c>
      <c r="H300" s="2" t="s">
        <v>10</v>
      </c>
      <c r="I300" s="2" t="s">
        <v>34</v>
      </c>
      <c r="J300" s="2" t="s">
        <v>41</v>
      </c>
      <c r="K300" s="3">
        <v>171</v>
      </c>
      <c r="L300" s="3">
        <v>20.52</v>
      </c>
    </row>
    <row r="301" spans="1:12" ht="20.100000000000001" customHeight="1" x14ac:dyDescent="0.25">
      <c r="A301" s="2" t="s">
        <v>15</v>
      </c>
      <c r="B301" s="2" t="s">
        <v>7</v>
      </c>
      <c r="C301" s="2" t="s">
        <v>117</v>
      </c>
      <c r="D301" s="2" t="s">
        <v>118</v>
      </c>
      <c r="E301" s="2" t="s">
        <v>383</v>
      </c>
      <c r="F301" s="2" t="s">
        <v>384</v>
      </c>
      <c r="G301" s="2" t="s">
        <v>33</v>
      </c>
      <c r="H301" s="2" t="s">
        <v>10</v>
      </c>
      <c r="I301" s="2" t="s">
        <v>34</v>
      </c>
      <c r="J301" s="2" t="s">
        <v>237</v>
      </c>
      <c r="K301" s="3">
        <v>168.57</v>
      </c>
      <c r="L301" s="3">
        <v>6.74</v>
      </c>
    </row>
    <row r="302" spans="1:12" ht="20.100000000000001" customHeight="1" x14ac:dyDescent="0.25">
      <c r="A302" s="2" t="s">
        <v>15</v>
      </c>
      <c r="B302" s="2" t="s">
        <v>5</v>
      </c>
      <c r="C302" s="2" t="s">
        <v>339</v>
      </c>
      <c r="D302" s="2" t="s">
        <v>118</v>
      </c>
      <c r="E302" s="2" t="s">
        <v>385</v>
      </c>
      <c r="F302" s="2" t="s">
        <v>386</v>
      </c>
      <c r="G302" s="2" t="s">
        <v>120</v>
      </c>
      <c r="H302" s="2" t="s">
        <v>10</v>
      </c>
      <c r="I302" s="2" t="s">
        <v>34</v>
      </c>
      <c r="J302" s="2" t="s">
        <v>58</v>
      </c>
      <c r="K302" s="3">
        <v>162.63</v>
      </c>
      <c r="L302" s="3">
        <v>19.52</v>
      </c>
    </row>
    <row r="303" spans="1:12" ht="20.100000000000001" customHeight="1" x14ac:dyDescent="0.25">
      <c r="A303" s="2" t="s">
        <v>15</v>
      </c>
      <c r="B303" s="2" t="s">
        <v>3</v>
      </c>
      <c r="C303" s="2" t="s">
        <v>96</v>
      </c>
      <c r="D303" s="2" t="s">
        <v>63</v>
      </c>
      <c r="E303" s="2" t="s">
        <v>387</v>
      </c>
      <c r="F303" s="2" t="s">
        <v>163</v>
      </c>
      <c r="G303" s="2" t="s">
        <v>33</v>
      </c>
      <c r="H303" s="2" t="s">
        <v>10</v>
      </c>
      <c r="I303" s="2" t="s">
        <v>34</v>
      </c>
      <c r="J303" s="2" t="s">
        <v>58</v>
      </c>
      <c r="K303" s="3">
        <v>161.43</v>
      </c>
      <c r="L303" s="3">
        <v>6.46</v>
      </c>
    </row>
    <row r="304" spans="1:12" ht="20.100000000000001" customHeight="1" x14ac:dyDescent="0.25">
      <c r="A304" s="2" t="s">
        <v>9</v>
      </c>
      <c r="B304" s="2" t="s">
        <v>2</v>
      </c>
      <c r="C304" s="2" t="s">
        <v>75</v>
      </c>
      <c r="D304" s="2" t="s">
        <v>37</v>
      </c>
      <c r="E304" s="2" t="s">
        <v>388</v>
      </c>
      <c r="F304" s="2" t="s">
        <v>389</v>
      </c>
      <c r="G304" s="2" t="s">
        <v>78</v>
      </c>
      <c r="H304" s="2" t="s">
        <v>10</v>
      </c>
      <c r="I304" s="2" t="s">
        <v>34</v>
      </c>
      <c r="J304" s="2" t="s">
        <v>130</v>
      </c>
      <c r="K304" s="3">
        <v>160</v>
      </c>
      <c r="L304" s="3">
        <v>0</v>
      </c>
    </row>
    <row r="305" spans="1:12" ht="20.100000000000001" customHeight="1" x14ac:dyDescent="0.25">
      <c r="A305" s="2" t="s">
        <v>15</v>
      </c>
      <c r="B305" s="2" t="s">
        <v>4</v>
      </c>
      <c r="C305" s="2" t="s">
        <v>201</v>
      </c>
      <c r="D305" s="2" t="s">
        <v>138</v>
      </c>
      <c r="E305" s="2" t="s">
        <v>390</v>
      </c>
      <c r="F305" s="2" t="s">
        <v>203</v>
      </c>
      <c r="G305" s="2" t="s">
        <v>45</v>
      </c>
      <c r="H305" s="2" t="s">
        <v>10</v>
      </c>
      <c r="I305" s="2" t="s">
        <v>34</v>
      </c>
      <c r="J305" s="2" t="s">
        <v>58</v>
      </c>
      <c r="K305" s="3">
        <v>160</v>
      </c>
      <c r="L305" s="3">
        <v>19.2</v>
      </c>
    </row>
    <row r="306" spans="1:12" ht="20.100000000000001" customHeight="1" x14ac:dyDescent="0.25">
      <c r="A306" s="2" t="s">
        <v>15</v>
      </c>
      <c r="B306" s="2" t="s">
        <v>6</v>
      </c>
      <c r="C306" s="2" t="s">
        <v>66</v>
      </c>
      <c r="D306" s="2" t="s">
        <v>63</v>
      </c>
      <c r="E306" s="2" t="s">
        <v>391</v>
      </c>
      <c r="F306" s="2" t="s">
        <v>65</v>
      </c>
      <c r="G306" s="2" t="s">
        <v>45</v>
      </c>
      <c r="H306" s="2" t="s">
        <v>10</v>
      </c>
      <c r="I306" s="2" t="s">
        <v>34</v>
      </c>
      <c r="J306" s="2" t="s">
        <v>41</v>
      </c>
      <c r="K306" s="3">
        <v>158.34</v>
      </c>
      <c r="L306" s="3">
        <v>19</v>
      </c>
    </row>
    <row r="307" spans="1:12" ht="20.100000000000001" customHeight="1" x14ac:dyDescent="0.25">
      <c r="A307" s="2" t="s">
        <v>15</v>
      </c>
      <c r="B307" s="2" t="s">
        <v>3</v>
      </c>
      <c r="C307" s="2" t="s">
        <v>88</v>
      </c>
      <c r="D307" s="2" t="s">
        <v>30</v>
      </c>
      <c r="E307" s="2" t="s">
        <v>392</v>
      </c>
      <c r="F307" s="2" t="s">
        <v>90</v>
      </c>
      <c r="G307" s="2" t="s">
        <v>33</v>
      </c>
      <c r="H307" s="2" t="s">
        <v>10</v>
      </c>
      <c r="I307" s="2" t="s">
        <v>34</v>
      </c>
      <c r="J307" s="2" t="s">
        <v>58</v>
      </c>
      <c r="K307" s="3">
        <v>157.6</v>
      </c>
      <c r="L307" s="3">
        <v>17.97</v>
      </c>
    </row>
    <row r="308" spans="1:12" ht="20.100000000000001" customHeight="1" x14ac:dyDescent="0.25">
      <c r="A308" s="2" t="s">
        <v>15</v>
      </c>
      <c r="B308" s="2" t="s">
        <v>3</v>
      </c>
      <c r="C308" s="2" t="s">
        <v>88</v>
      </c>
      <c r="D308" s="2" t="s">
        <v>30</v>
      </c>
      <c r="E308" s="2" t="s">
        <v>393</v>
      </c>
      <c r="F308" s="2" t="s">
        <v>90</v>
      </c>
      <c r="G308" s="2" t="s">
        <v>33</v>
      </c>
      <c r="H308" s="2" t="s">
        <v>10</v>
      </c>
      <c r="I308" s="2" t="s">
        <v>34</v>
      </c>
      <c r="J308" s="2" t="s">
        <v>58</v>
      </c>
      <c r="K308" s="3">
        <v>157.6</v>
      </c>
      <c r="L308" s="3">
        <v>17.97</v>
      </c>
    </row>
    <row r="309" spans="1:12" ht="20.100000000000001" customHeight="1" x14ac:dyDescent="0.25">
      <c r="A309" s="2" t="s">
        <v>15</v>
      </c>
      <c r="B309" s="2" t="s">
        <v>3</v>
      </c>
      <c r="C309" s="2" t="s">
        <v>88</v>
      </c>
      <c r="D309" s="2" t="s">
        <v>30</v>
      </c>
      <c r="E309" s="2" t="s">
        <v>394</v>
      </c>
      <c r="F309" s="2" t="s">
        <v>90</v>
      </c>
      <c r="G309" s="2" t="s">
        <v>33</v>
      </c>
      <c r="H309" s="2" t="s">
        <v>10</v>
      </c>
      <c r="I309" s="2" t="s">
        <v>34</v>
      </c>
      <c r="J309" s="2" t="s">
        <v>58</v>
      </c>
      <c r="K309" s="3">
        <v>157.6</v>
      </c>
      <c r="L309" s="3">
        <v>17.97</v>
      </c>
    </row>
    <row r="310" spans="1:12" ht="20.100000000000001" customHeight="1" x14ac:dyDescent="0.25">
      <c r="A310" s="2" t="s">
        <v>15</v>
      </c>
      <c r="B310" s="2" t="s">
        <v>3</v>
      </c>
      <c r="C310" s="2" t="s">
        <v>88</v>
      </c>
      <c r="D310" s="2" t="s">
        <v>30</v>
      </c>
      <c r="E310" s="2" t="s">
        <v>395</v>
      </c>
      <c r="F310" s="2" t="s">
        <v>90</v>
      </c>
      <c r="G310" s="2" t="s">
        <v>33</v>
      </c>
      <c r="H310" s="2" t="s">
        <v>10</v>
      </c>
      <c r="I310" s="2" t="s">
        <v>34</v>
      </c>
      <c r="J310" s="2" t="s">
        <v>58</v>
      </c>
      <c r="K310" s="3">
        <v>157.6</v>
      </c>
      <c r="L310" s="3">
        <v>17.97</v>
      </c>
    </row>
    <row r="311" spans="1:12" ht="20.100000000000001" customHeight="1" x14ac:dyDescent="0.25">
      <c r="A311" s="2" t="s">
        <v>15</v>
      </c>
      <c r="B311" s="2" t="s">
        <v>6</v>
      </c>
      <c r="C311" s="2" t="s">
        <v>161</v>
      </c>
      <c r="D311" s="2" t="s">
        <v>63</v>
      </c>
      <c r="E311" s="2" t="s">
        <v>396</v>
      </c>
      <c r="F311" s="2" t="s">
        <v>163</v>
      </c>
      <c r="G311" s="2" t="s">
        <v>33</v>
      </c>
      <c r="H311" s="2" t="s">
        <v>10</v>
      </c>
      <c r="I311" s="2" t="s">
        <v>34</v>
      </c>
      <c r="J311" s="2" t="s">
        <v>58</v>
      </c>
      <c r="K311" s="3">
        <v>157.35</v>
      </c>
      <c r="L311" s="3">
        <v>6.82</v>
      </c>
    </row>
    <row r="312" spans="1:12" ht="20.100000000000001" customHeight="1" x14ac:dyDescent="0.25">
      <c r="A312" s="2" t="s">
        <v>15</v>
      </c>
      <c r="B312" s="2" t="s">
        <v>3</v>
      </c>
      <c r="C312" s="2" t="s">
        <v>106</v>
      </c>
      <c r="D312" s="2" t="s">
        <v>30</v>
      </c>
      <c r="E312" s="2" t="s">
        <v>397</v>
      </c>
      <c r="F312" s="2" t="s">
        <v>110</v>
      </c>
      <c r="G312" s="2" t="s">
        <v>33</v>
      </c>
      <c r="H312" s="2" t="s">
        <v>10</v>
      </c>
      <c r="I312" s="2" t="s">
        <v>34</v>
      </c>
      <c r="J312" s="2" t="s">
        <v>58</v>
      </c>
      <c r="K312" s="3">
        <v>156.84</v>
      </c>
      <c r="L312" s="3">
        <v>6.45</v>
      </c>
    </row>
    <row r="313" spans="1:12" ht="20.100000000000001" customHeight="1" x14ac:dyDescent="0.25">
      <c r="A313" s="2" t="s">
        <v>15</v>
      </c>
      <c r="B313" s="2" t="s">
        <v>7</v>
      </c>
      <c r="C313" s="2" t="s">
        <v>184</v>
      </c>
      <c r="D313" s="2" t="s">
        <v>55</v>
      </c>
      <c r="E313" s="2" t="s">
        <v>398</v>
      </c>
      <c r="F313" s="2" t="s">
        <v>186</v>
      </c>
      <c r="G313" s="2" t="s">
        <v>45</v>
      </c>
      <c r="H313" s="2" t="s">
        <v>10</v>
      </c>
      <c r="I313" s="2" t="s">
        <v>34</v>
      </c>
      <c r="J313" s="2" t="s">
        <v>74</v>
      </c>
      <c r="K313" s="3">
        <v>156.54</v>
      </c>
      <c r="L313" s="3">
        <v>19.11</v>
      </c>
    </row>
    <row r="314" spans="1:12" ht="20.100000000000001" customHeight="1" x14ac:dyDescent="0.25">
      <c r="A314" s="2" t="s">
        <v>15</v>
      </c>
      <c r="B314" s="2" t="s">
        <v>7</v>
      </c>
      <c r="C314" s="2" t="s">
        <v>96</v>
      </c>
      <c r="D314" s="2" t="s">
        <v>63</v>
      </c>
      <c r="E314" s="2" t="s">
        <v>399</v>
      </c>
      <c r="F314" s="2" t="s">
        <v>358</v>
      </c>
      <c r="G314" s="2" t="s">
        <v>33</v>
      </c>
      <c r="H314" s="2" t="s">
        <v>10</v>
      </c>
      <c r="I314" s="2" t="s">
        <v>34</v>
      </c>
      <c r="J314" s="2" t="s">
        <v>51</v>
      </c>
      <c r="K314" s="3">
        <v>152.87</v>
      </c>
      <c r="L314" s="3">
        <v>6.11</v>
      </c>
    </row>
    <row r="315" spans="1:12" ht="20.100000000000001" customHeight="1" x14ac:dyDescent="0.25">
      <c r="A315" s="2" t="s">
        <v>15</v>
      </c>
      <c r="B315" s="2" t="s">
        <v>7</v>
      </c>
      <c r="C315" s="2" t="s">
        <v>184</v>
      </c>
      <c r="D315" s="2" t="s">
        <v>55</v>
      </c>
      <c r="E315" s="2" t="s">
        <v>400</v>
      </c>
      <c r="F315" s="2" t="s">
        <v>186</v>
      </c>
      <c r="G315" s="2" t="s">
        <v>45</v>
      </c>
      <c r="H315" s="2" t="s">
        <v>10</v>
      </c>
      <c r="I315" s="2" t="s">
        <v>34</v>
      </c>
      <c r="J315" s="2" t="s">
        <v>58</v>
      </c>
      <c r="K315" s="3">
        <v>152.22</v>
      </c>
      <c r="L315" s="3">
        <v>18.579999999999998</v>
      </c>
    </row>
    <row r="316" spans="1:12" ht="20.100000000000001" customHeight="1" x14ac:dyDescent="0.25">
      <c r="A316" s="2" t="s">
        <v>15</v>
      </c>
      <c r="B316" s="2" t="s">
        <v>7</v>
      </c>
      <c r="C316" s="2" t="s">
        <v>184</v>
      </c>
      <c r="D316" s="2" t="s">
        <v>55</v>
      </c>
      <c r="E316" s="2" t="s">
        <v>401</v>
      </c>
      <c r="F316" s="2" t="s">
        <v>186</v>
      </c>
      <c r="G316" s="2" t="s">
        <v>45</v>
      </c>
      <c r="H316" s="2" t="s">
        <v>10</v>
      </c>
      <c r="I316" s="2" t="s">
        <v>34</v>
      </c>
      <c r="J316" s="2" t="s">
        <v>58</v>
      </c>
      <c r="K316" s="3">
        <v>152.22</v>
      </c>
      <c r="L316" s="3">
        <v>18.579999999999998</v>
      </c>
    </row>
    <row r="317" spans="1:12" ht="20.100000000000001" customHeight="1" x14ac:dyDescent="0.25">
      <c r="A317" s="2" t="s">
        <v>15</v>
      </c>
      <c r="B317" s="2" t="s">
        <v>3</v>
      </c>
      <c r="C317" s="2" t="s">
        <v>80</v>
      </c>
      <c r="D317" s="2" t="s">
        <v>37</v>
      </c>
      <c r="E317" s="2" t="s">
        <v>402</v>
      </c>
      <c r="F317" s="2" t="s">
        <v>82</v>
      </c>
      <c r="G317" s="2" t="s">
        <v>83</v>
      </c>
      <c r="H317" s="2" t="s">
        <v>10</v>
      </c>
      <c r="I317" s="2" t="s">
        <v>34</v>
      </c>
      <c r="J317" s="2" t="s">
        <v>84</v>
      </c>
      <c r="K317" s="3">
        <v>151.91999999999999</v>
      </c>
      <c r="L317" s="3">
        <v>16.57</v>
      </c>
    </row>
    <row r="318" spans="1:12" ht="20.100000000000001" customHeight="1" x14ac:dyDescent="0.25">
      <c r="A318" s="2" t="s">
        <v>15</v>
      </c>
      <c r="B318" s="2" t="s">
        <v>5</v>
      </c>
      <c r="C318" s="2" t="s">
        <v>100</v>
      </c>
      <c r="D318" s="2" t="s">
        <v>37</v>
      </c>
      <c r="E318" s="2" t="s">
        <v>403</v>
      </c>
      <c r="F318" s="2" t="s">
        <v>404</v>
      </c>
      <c r="G318" s="2" t="s">
        <v>78</v>
      </c>
      <c r="H318" s="2" t="s">
        <v>10</v>
      </c>
      <c r="I318" s="2" t="s">
        <v>34</v>
      </c>
      <c r="J318" s="2" t="s">
        <v>58</v>
      </c>
      <c r="K318" s="3">
        <v>151.19999999999999</v>
      </c>
      <c r="L318" s="3">
        <v>16.5</v>
      </c>
    </row>
    <row r="319" spans="1:12" ht="20.100000000000001" customHeight="1" x14ac:dyDescent="0.25">
      <c r="A319" s="2" t="s">
        <v>15</v>
      </c>
      <c r="B319" s="2" t="s">
        <v>7</v>
      </c>
      <c r="C319" s="2" t="s">
        <v>80</v>
      </c>
      <c r="D319" s="2" t="s">
        <v>37</v>
      </c>
      <c r="E319" s="2" t="s">
        <v>405</v>
      </c>
      <c r="F319" s="2" t="s">
        <v>82</v>
      </c>
      <c r="G319" s="2" t="s">
        <v>83</v>
      </c>
      <c r="H319" s="2" t="s">
        <v>10</v>
      </c>
      <c r="I319" s="2" t="s">
        <v>34</v>
      </c>
      <c r="J319" s="2" t="s">
        <v>84</v>
      </c>
      <c r="K319" s="3">
        <v>150.93</v>
      </c>
      <c r="L319" s="3">
        <v>16.46</v>
      </c>
    </row>
    <row r="320" spans="1:12" ht="20.100000000000001" customHeight="1" x14ac:dyDescent="0.25">
      <c r="A320" s="2" t="s">
        <v>15</v>
      </c>
      <c r="B320" s="2" t="s">
        <v>5</v>
      </c>
      <c r="C320" s="2" t="s">
        <v>80</v>
      </c>
      <c r="D320" s="2" t="s">
        <v>37</v>
      </c>
      <c r="E320" s="2" t="s">
        <v>405</v>
      </c>
      <c r="F320" s="2" t="s">
        <v>82</v>
      </c>
      <c r="G320" s="2" t="s">
        <v>83</v>
      </c>
      <c r="H320" s="2" t="s">
        <v>10</v>
      </c>
      <c r="I320" s="2" t="s">
        <v>34</v>
      </c>
      <c r="J320" s="2" t="s">
        <v>84</v>
      </c>
      <c r="K320" s="3">
        <v>150.93</v>
      </c>
      <c r="L320" s="3">
        <v>16.47</v>
      </c>
    </row>
    <row r="321" spans="1:12" ht="20.100000000000001" customHeight="1" x14ac:dyDescent="0.25">
      <c r="A321" s="2" t="s">
        <v>15</v>
      </c>
      <c r="B321" s="2" t="s">
        <v>3</v>
      </c>
      <c r="C321" s="2" t="s">
        <v>80</v>
      </c>
      <c r="D321" s="2" t="s">
        <v>37</v>
      </c>
      <c r="E321" s="2" t="s">
        <v>405</v>
      </c>
      <c r="F321" s="2" t="s">
        <v>82</v>
      </c>
      <c r="G321" s="2" t="s">
        <v>83</v>
      </c>
      <c r="H321" s="2" t="s">
        <v>10</v>
      </c>
      <c r="I321" s="2" t="s">
        <v>34</v>
      </c>
      <c r="J321" s="2" t="s">
        <v>84</v>
      </c>
      <c r="K321" s="3">
        <v>150.93</v>
      </c>
      <c r="L321" s="3">
        <v>16.46</v>
      </c>
    </row>
    <row r="322" spans="1:12" ht="20.100000000000001" customHeight="1" x14ac:dyDescent="0.25">
      <c r="A322" s="2" t="s">
        <v>15</v>
      </c>
      <c r="B322" s="2" t="s">
        <v>2</v>
      </c>
      <c r="C322" s="2" t="s">
        <v>111</v>
      </c>
      <c r="D322" s="2" t="s">
        <v>30</v>
      </c>
      <c r="E322" s="2" t="s">
        <v>406</v>
      </c>
      <c r="F322" s="2" t="s">
        <v>102</v>
      </c>
      <c r="G322" s="2" t="s">
        <v>124</v>
      </c>
      <c r="H322" s="2" t="s">
        <v>10</v>
      </c>
      <c r="I322" s="2" t="s">
        <v>34</v>
      </c>
      <c r="J322" s="2" t="s">
        <v>74</v>
      </c>
      <c r="K322" s="3">
        <v>150.9</v>
      </c>
      <c r="L322" s="3">
        <v>18.11</v>
      </c>
    </row>
    <row r="323" spans="1:12" ht="20.100000000000001" customHeight="1" x14ac:dyDescent="0.25">
      <c r="A323" s="2" t="s">
        <v>15</v>
      </c>
      <c r="B323" s="2" t="s">
        <v>2</v>
      </c>
      <c r="C323" s="2" t="s">
        <v>111</v>
      </c>
      <c r="D323" s="2" t="s">
        <v>30</v>
      </c>
      <c r="E323" s="2" t="s">
        <v>407</v>
      </c>
      <c r="F323" s="2" t="s">
        <v>102</v>
      </c>
      <c r="G323" s="2" t="s">
        <v>124</v>
      </c>
      <c r="H323" s="2" t="s">
        <v>10</v>
      </c>
      <c r="I323" s="2" t="s">
        <v>34</v>
      </c>
      <c r="J323" s="2" t="s">
        <v>74</v>
      </c>
      <c r="K323" s="3">
        <v>150.9</v>
      </c>
      <c r="L323" s="3">
        <v>18.11</v>
      </c>
    </row>
    <row r="324" spans="1:12" ht="20.100000000000001" customHeight="1" x14ac:dyDescent="0.25">
      <c r="A324" s="2" t="s">
        <v>15</v>
      </c>
      <c r="B324" s="2" t="s">
        <v>5</v>
      </c>
      <c r="C324" s="2" t="s">
        <v>111</v>
      </c>
      <c r="D324" s="2" t="s">
        <v>30</v>
      </c>
      <c r="E324" s="2" t="s">
        <v>408</v>
      </c>
      <c r="F324" s="2" t="s">
        <v>102</v>
      </c>
      <c r="G324" s="2" t="s">
        <v>124</v>
      </c>
      <c r="H324" s="2" t="s">
        <v>10</v>
      </c>
      <c r="I324" s="2" t="s">
        <v>34</v>
      </c>
      <c r="J324" s="2" t="s">
        <v>74</v>
      </c>
      <c r="K324" s="3">
        <v>150.9</v>
      </c>
      <c r="L324" s="3">
        <v>18.559999999999999</v>
      </c>
    </row>
    <row r="325" spans="1:12" ht="20.100000000000001" customHeight="1" x14ac:dyDescent="0.25">
      <c r="A325" s="2" t="s">
        <v>15</v>
      </c>
      <c r="B325" s="2" t="s">
        <v>2</v>
      </c>
      <c r="C325" s="2" t="s">
        <v>111</v>
      </c>
      <c r="D325" s="2" t="s">
        <v>30</v>
      </c>
      <c r="E325" s="2" t="s">
        <v>408</v>
      </c>
      <c r="F325" s="2" t="s">
        <v>102</v>
      </c>
      <c r="G325" s="2" t="s">
        <v>124</v>
      </c>
      <c r="H325" s="2" t="s">
        <v>10</v>
      </c>
      <c r="I325" s="2" t="s">
        <v>34</v>
      </c>
      <c r="J325" s="2" t="s">
        <v>74</v>
      </c>
      <c r="K325" s="3">
        <v>150.9</v>
      </c>
      <c r="L325" s="3">
        <v>18.11</v>
      </c>
    </row>
    <row r="326" spans="1:12" ht="20.100000000000001" customHeight="1" x14ac:dyDescent="0.25">
      <c r="A326" s="2" t="s">
        <v>15</v>
      </c>
      <c r="B326" s="2" t="s">
        <v>2</v>
      </c>
      <c r="C326" s="2" t="s">
        <v>111</v>
      </c>
      <c r="D326" s="2" t="s">
        <v>30</v>
      </c>
      <c r="E326" s="2" t="s">
        <v>409</v>
      </c>
      <c r="F326" s="2" t="s">
        <v>102</v>
      </c>
      <c r="G326" s="2" t="s">
        <v>124</v>
      </c>
      <c r="H326" s="2" t="s">
        <v>10</v>
      </c>
      <c r="I326" s="2" t="s">
        <v>34</v>
      </c>
      <c r="J326" s="2" t="s">
        <v>74</v>
      </c>
      <c r="K326" s="3">
        <v>150.9</v>
      </c>
      <c r="L326" s="3">
        <v>18.11</v>
      </c>
    </row>
    <row r="327" spans="1:12" ht="20.100000000000001" customHeight="1" x14ac:dyDescent="0.25">
      <c r="A327" s="2" t="s">
        <v>15</v>
      </c>
      <c r="B327" s="2" t="s">
        <v>3</v>
      </c>
      <c r="C327" s="2" t="s">
        <v>80</v>
      </c>
      <c r="D327" s="2" t="s">
        <v>37</v>
      </c>
      <c r="E327" s="2" t="s">
        <v>410</v>
      </c>
      <c r="F327" s="2" t="s">
        <v>82</v>
      </c>
      <c r="G327" s="2" t="s">
        <v>83</v>
      </c>
      <c r="H327" s="2" t="s">
        <v>10</v>
      </c>
      <c r="I327" s="2" t="s">
        <v>34</v>
      </c>
      <c r="J327" s="2" t="s">
        <v>84</v>
      </c>
      <c r="K327" s="3">
        <v>150.38999999999999</v>
      </c>
      <c r="L327" s="3">
        <v>16.41</v>
      </c>
    </row>
    <row r="328" spans="1:12" ht="20.100000000000001" customHeight="1" x14ac:dyDescent="0.25">
      <c r="A328" s="2" t="s">
        <v>15</v>
      </c>
      <c r="B328" s="2" t="s">
        <v>6</v>
      </c>
      <c r="C328" s="2" t="s">
        <v>161</v>
      </c>
      <c r="D328" s="2" t="s">
        <v>63</v>
      </c>
      <c r="E328" s="2" t="s">
        <v>411</v>
      </c>
      <c r="F328" s="2" t="s">
        <v>163</v>
      </c>
      <c r="G328" s="2" t="s">
        <v>33</v>
      </c>
      <c r="H328" s="2" t="s">
        <v>10</v>
      </c>
      <c r="I328" s="2" t="s">
        <v>34</v>
      </c>
      <c r="J328" s="2" t="s">
        <v>58</v>
      </c>
      <c r="K328" s="3">
        <v>149.85</v>
      </c>
      <c r="L328" s="3">
        <v>6.49</v>
      </c>
    </row>
    <row r="329" spans="1:12" ht="20.100000000000001" customHeight="1" x14ac:dyDescent="0.25">
      <c r="A329" s="2" t="s">
        <v>15</v>
      </c>
      <c r="B329" s="2" t="s">
        <v>2</v>
      </c>
      <c r="C329" s="2" t="s">
        <v>238</v>
      </c>
      <c r="D329" s="2" t="s">
        <v>30</v>
      </c>
      <c r="E329" s="2" t="s">
        <v>412</v>
      </c>
      <c r="F329" s="2" t="s">
        <v>341</v>
      </c>
      <c r="G329" s="2" t="s">
        <v>120</v>
      </c>
      <c r="H329" s="2" t="s">
        <v>10</v>
      </c>
      <c r="I329" s="2" t="s">
        <v>34</v>
      </c>
      <c r="J329" s="2" t="s">
        <v>58</v>
      </c>
      <c r="K329" s="3">
        <v>147.97</v>
      </c>
      <c r="L329" s="3">
        <v>5.92</v>
      </c>
    </row>
    <row r="330" spans="1:12" ht="20.100000000000001" customHeight="1" x14ac:dyDescent="0.25">
      <c r="A330" s="2" t="s">
        <v>15</v>
      </c>
      <c r="B330" s="2" t="s">
        <v>5</v>
      </c>
      <c r="C330" s="2" t="s">
        <v>100</v>
      </c>
      <c r="D330" s="2" t="s">
        <v>37</v>
      </c>
      <c r="E330" s="2" t="s">
        <v>413</v>
      </c>
      <c r="F330" s="2" t="s">
        <v>200</v>
      </c>
      <c r="G330" s="2" t="s">
        <v>78</v>
      </c>
      <c r="H330" s="2" t="s">
        <v>10</v>
      </c>
      <c r="I330" s="2" t="s">
        <v>34</v>
      </c>
      <c r="J330" s="2" t="s">
        <v>58</v>
      </c>
      <c r="K330" s="3">
        <v>147.30000000000001</v>
      </c>
      <c r="L330" s="3">
        <v>16.07</v>
      </c>
    </row>
    <row r="331" spans="1:12" ht="20.100000000000001" customHeight="1" x14ac:dyDescent="0.25">
      <c r="A331" s="2" t="s">
        <v>15</v>
      </c>
      <c r="B331" s="2" t="s">
        <v>7</v>
      </c>
      <c r="C331" s="2" t="s">
        <v>111</v>
      </c>
      <c r="D331" s="2" t="s">
        <v>30</v>
      </c>
      <c r="E331" s="2" t="s">
        <v>280</v>
      </c>
      <c r="F331" s="2" t="s">
        <v>149</v>
      </c>
      <c r="G331" s="2" t="s">
        <v>124</v>
      </c>
      <c r="H331" s="2" t="s">
        <v>10</v>
      </c>
      <c r="I331" s="2" t="s">
        <v>34</v>
      </c>
      <c r="J331" s="2" t="s">
        <v>74</v>
      </c>
      <c r="K331" s="3">
        <v>146.28</v>
      </c>
      <c r="L331" s="3">
        <v>17.55</v>
      </c>
    </row>
    <row r="332" spans="1:12" ht="20.100000000000001" customHeight="1" x14ac:dyDescent="0.25">
      <c r="A332" s="2" t="s">
        <v>15</v>
      </c>
      <c r="B332" s="2" t="s">
        <v>2</v>
      </c>
      <c r="C332" s="2" t="s">
        <v>111</v>
      </c>
      <c r="D332" s="2" t="s">
        <v>30</v>
      </c>
      <c r="E332" s="2" t="s">
        <v>280</v>
      </c>
      <c r="F332" s="2" t="s">
        <v>149</v>
      </c>
      <c r="G332" s="2" t="s">
        <v>124</v>
      </c>
      <c r="H332" s="2" t="s">
        <v>10</v>
      </c>
      <c r="I332" s="2" t="s">
        <v>34</v>
      </c>
      <c r="J332" s="2" t="s">
        <v>74</v>
      </c>
      <c r="K332" s="3">
        <v>146.28</v>
      </c>
      <c r="L332" s="3">
        <v>17.55</v>
      </c>
    </row>
    <row r="333" spans="1:12" ht="20.100000000000001" customHeight="1" x14ac:dyDescent="0.25">
      <c r="A333" s="2" t="s">
        <v>15</v>
      </c>
      <c r="B333" s="2" t="s">
        <v>2</v>
      </c>
      <c r="C333" s="2" t="s">
        <v>238</v>
      </c>
      <c r="D333" s="2" t="s">
        <v>30</v>
      </c>
      <c r="E333" s="2" t="s">
        <v>414</v>
      </c>
      <c r="F333" s="2" t="s">
        <v>240</v>
      </c>
      <c r="G333" s="2" t="s">
        <v>120</v>
      </c>
      <c r="H333" s="2" t="s">
        <v>10</v>
      </c>
      <c r="I333" s="2" t="s">
        <v>34</v>
      </c>
      <c r="J333" s="2" t="s">
        <v>58</v>
      </c>
      <c r="K333" s="3">
        <v>145.31</v>
      </c>
      <c r="L333" s="3">
        <v>5.81</v>
      </c>
    </row>
    <row r="334" spans="1:12" ht="20.100000000000001" customHeight="1" x14ac:dyDescent="0.25">
      <c r="A334" s="2" t="s">
        <v>15</v>
      </c>
      <c r="B334" s="2" t="s">
        <v>4</v>
      </c>
      <c r="C334" s="2" t="s">
        <v>133</v>
      </c>
      <c r="D334" s="2" t="s">
        <v>134</v>
      </c>
      <c r="E334" s="2" t="s">
        <v>415</v>
      </c>
      <c r="F334" s="2" t="s">
        <v>258</v>
      </c>
      <c r="G334" s="2" t="s">
        <v>120</v>
      </c>
      <c r="H334" s="2" t="s">
        <v>10</v>
      </c>
      <c r="I334" s="2" t="s">
        <v>34</v>
      </c>
      <c r="J334" s="2" t="s">
        <v>58</v>
      </c>
      <c r="K334" s="3">
        <v>145.02000000000001</v>
      </c>
      <c r="L334" s="3">
        <v>17.399999999999999</v>
      </c>
    </row>
    <row r="335" spans="1:12" ht="20.100000000000001" customHeight="1" x14ac:dyDescent="0.25">
      <c r="A335" s="2" t="s">
        <v>15</v>
      </c>
      <c r="B335" s="2" t="s">
        <v>3</v>
      </c>
      <c r="C335" s="2" t="s">
        <v>133</v>
      </c>
      <c r="D335" s="2" t="s">
        <v>134</v>
      </c>
      <c r="E335" s="2" t="s">
        <v>416</v>
      </c>
      <c r="F335" s="2" t="s">
        <v>258</v>
      </c>
      <c r="G335" s="2" t="s">
        <v>120</v>
      </c>
      <c r="H335" s="2" t="s">
        <v>10</v>
      </c>
      <c r="I335" s="2" t="s">
        <v>34</v>
      </c>
      <c r="J335" s="2" t="s">
        <v>58</v>
      </c>
      <c r="K335" s="3">
        <v>145.02000000000001</v>
      </c>
      <c r="L335" s="3">
        <v>17.399999999999999</v>
      </c>
    </row>
    <row r="336" spans="1:12" ht="20.100000000000001" customHeight="1" x14ac:dyDescent="0.25">
      <c r="A336" s="2" t="s">
        <v>15</v>
      </c>
      <c r="B336" s="2" t="s">
        <v>7</v>
      </c>
      <c r="C336" s="2" t="s">
        <v>80</v>
      </c>
      <c r="D336" s="2" t="s">
        <v>37</v>
      </c>
      <c r="E336" s="2" t="s">
        <v>417</v>
      </c>
      <c r="F336" s="2" t="s">
        <v>82</v>
      </c>
      <c r="G336" s="2" t="s">
        <v>83</v>
      </c>
      <c r="H336" s="2" t="s">
        <v>10</v>
      </c>
      <c r="I336" s="2" t="s">
        <v>34</v>
      </c>
      <c r="J336" s="2" t="s">
        <v>84</v>
      </c>
      <c r="K336" s="3">
        <v>144.36000000000001</v>
      </c>
      <c r="L336" s="3">
        <v>15.75</v>
      </c>
    </row>
    <row r="337" spans="1:12" ht="20.100000000000001" customHeight="1" x14ac:dyDescent="0.25">
      <c r="A337" s="2" t="s">
        <v>15</v>
      </c>
      <c r="B337" s="2" t="s">
        <v>3</v>
      </c>
      <c r="C337" s="2" t="s">
        <v>80</v>
      </c>
      <c r="D337" s="2" t="s">
        <v>37</v>
      </c>
      <c r="E337" s="2" t="s">
        <v>417</v>
      </c>
      <c r="F337" s="2" t="s">
        <v>82</v>
      </c>
      <c r="G337" s="2" t="s">
        <v>83</v>
      </c>
      <c r="H337" s="2" t="s">
        <v>10</v>
      </c>
      <c r="I337" s="2" t="s">
        <v>34</v>
      </c>
      <c r="J337" s="2" t="s">
        <v>84</v>
      </c>
      <c r="K337" s="3">
        <v>144.36000000000001</v>
      </c>
      <c r="L337" s="3">
        <v>15.75</v>
      </c>
    </row>
    <row r="338" spans="1:12" ht="20.100000000000001" customHeight="1" x14ac:dyDescent="0.25">
      <c r="A338" s="2" t="s">
        <v>15</v>
      </c>
      <c r="B338" s="2" t="s">
        <v>2</v>
      </c>
      <c r="C338" s="2" t="s">
        <v>111</v>
      </c>
      <c r="D338" s="2" t="s">
        <v>30</v>
      </c>
      <c r="E338" s="2" t="s">
        <v>418</v>
      </c>
      <c r="F338" s="2" t="s">
        <v>149</v>
      </c>
      <c r="G338" s="2" t="s">
        <v>124</v>
      </c>
      <c r="H338" s="2" t="s">
        <v>10</v>
      </c>
      <c r="I338" s="2" t="s">
        <v>34</v>
      </c>
      <c r="J338" s="2" t="s">
        <v>74</v>
      </c>
      <c r="K338" s="3">
        <v>144.12</v>
      </c>
      <c r="L338" s="3">
        <v>17.29</v>
      </c>
    </row>
    <row r="339" spans="1:12" ht="20.100000000000001" customHeight="1" x14ac:dyDescent="0.25">
      <c r="A339" s="2" t="s">
        <v>15</v>
      </c>
      <c r="B339" s="2" t="s">
        <v>6</v>
      </c>
      <c r="C339" s="2" t="s">
        <v>210</v>
      </c>
      <c r="D339" s="2" t="s">
        <v>134</v>
      </c>
      <c r="E339" s="2" t="s">
        <v>419</v>
      </c>
      <c r="F339" s="2" t="s">
        <v>172</v>
      </c>
      <c r="G339" s="2" t="s">
        <v>120</v>
      </c>
      <c r="H339" s="2" t="s">
        <v>10</v>
      </c>
      <c r="I339" s="2" t="s">
        <v>34</v>
      </c>
      <c r="J339" s="2" t="s">
        <v>58</v>
      </c>
      <c r="K339" s="3">
        <v>144.02000000000001</v>
      </c>
      <c r="L339" s="3">
        <v>17.34</v>
      </c>
    </row>
    <row r="340" spans="1:12" ht="20.100000000000001" customHeight="1" x14ac:dyDescent="0.25">
      <c r="A340" s="2" t="s">
        <v>15</v>
      </c>
      <c r="B340" s="2" t="s">
        <v>3</v>
      </c>
      <c r="C340" s="2" t="s">
        <v>80</v>
      </c>
      <c r="D340" s="2" t="s">
        <v>37</v>
      </c>
      <c r="E340" s="2" t="s">
        <v>420</v>
      </c>
      <c r="F340" s="2" t="s">
        <v>82</v>
      </c>
      <c r="G340" s="2" t="s">
        <v>83</v>
      </c>
      <c r="H340" s="2" t="s">
        <v>10</v>
      </c>
      <c r="I340" s="2" t="s">
        <v>34</v>
      </c>
      <c r="J340" s="2" t="s">
        <v>84</v>
      </c>
      <c r="K340" s="3">
        <v>142.56</v>
      </c>
      <c r="L340" s="3">
        <v>15.56</v>
      </c>
    </row>
    <row r="341" spans="1:12" ht="20.100000000000001" customHeight="1" x14ac:dyDescent="0.25">
      <c r="A341" s="2" t="s">
        <v>15</v>
      </c>
      <c r="B341" s="2" t="s">
        <v>7</v>
      </c>
      <c r="C341" s="2" t="s">
        <v>111</v>
      </c>
      <c r="D341" s="2" t="s">
        <v>30</v>
      </c>
      <c r="E341" s="2" t="s">
        <v>407</v>
      </c>
      <c r="F341" s="2" t="s">
        <v>102</v>
      </c>
      <c r="G341" s="2" t="s">
        <v>124</v>
      </c>
      <c r="H341" s="2" t="s">
        <v>10</v>
      </c>
      <c r="I341" s="2" t="s">
        <v>34</v>
      </c>
      <c r="J341" s="2" t="s">
        <v>74</v>
      </c>
      <c r="K341" s="3">
        <v>141.66</v>
      </c>
      <c r="L341" s="3">
        <v>17</v>
      </c>
    </row>
    <row r="342" spans="1:12" ht="20.100000000000001" customHeight="1" x14ac:dyDescent="0.25">
      <c r="A342" s="2" t="s">
        <v>15</v>
      </c>
      <c r="B342" s="2" t="s">
        <v>6</v>
      </c>
      <c r="C342" s="2" t="s">
        <v>167</v>
      </c>
      <c r="D342" s="2" t="s">
        <v>37</v>
      </c>
      <c r="E342" s="2" t="s">
        <v>421</v>
      </c>
      <c r="F342" s="2" t="s">
        <v>422</v>
      </c>
      <c r="G342" s="2" t="s">
        <v>78</v>
      </c>
      <c r="H342" s="2" t="s">
        <v>10</v>
      </c>
      <c r="I342" s="2" t="s">
        <v>34</v>
      </c>
      <c r="J342" s="2" t="s">
        <v>58</v>
      </c>
      <c r="K342" s="3">
        <v>141.6</v>
      </c>
      <c r="L342" s="3">
        <v>15.45</v>
      </c>
    </row>
    <row r="343" spans="1:12" ht="20.100000000000001" customHeight="1" x14ac:dyDescent="0.25">
      <c r="A343" s="2" t="s">
        <v>15</v>
      </c>
      <c r="B343" s="2" t="s">
        <v>6</v>
      </c>
      <c r="C343" s="2" t="s">
        <v>167</v>
      </c>
      <c r="D343" s="2" t="s">
        <v>37</v>
      </c>
      <c r="E343" s="2" t="s">
        <v>421</v>
      </c>
      <c r="F343" s="2" t="s">
        <v>422</v>
      </c>
      <c r="G343" s="2" t="s">
        <v>78</v>
      </c>
      <c r="H343" s="2" t="s">
        <v>10</v>
      </c>
      <c r="I343" s="2" t="s">
        <v>34</v>
      </c>
      <c r="J343" s="2" t="s">
        <v>58</v>
      </c>
      <c r="K343" s="3">
        <v>141.6</v>
      </c>
      <c r="L343" s="3">
        <v>15.45</v>
      </c>
    </row>
    <row r="344" spans="1:12" ht="20.100000000000001" customHeight="1" x14ac:dyDescent="0.25">
      <c r="A344" s="2" t="s">
        <v>9</v>
      </c>
      <c r="B344" s="2" t="s">
        <v>5</v>
      </c>
      <c r="C344" s="2" t="s">
        <v>423</v>
      </c>
      <c r="D344" s="2" t="s">
        <v>37</v>
      </c>
      <c r="E344" s="2" t="s">
        <v>424</v>
      </c>
      <c r="F344" s="2" t="s">
        <v>425</v>
      </c>
      <c r="G344" s="2" t="s">
        <v>83</v>
      </c>
      <c r="H344" s="2" t="s">
        <v>10</v>
      </c>
      <c r="I344" s="2" t="s">
        <v>34</v>
      </c>
      <c r="J344" s="2" t="s">
        <v>267</v>
      </c>
      <c r="K344" s="3">
        <v>141.5</v>
      </c>
      <c r="L344" s="3">
        <v>0</v>
      </c>
    </row>
    <row r="345" spans="1:12" ht="20.100000000000001" customHeight="1" x14ac:dyDescent="0.25">
      <c r="A345" s="2" t="s">
        <v>15</v>
      </c>
      <c r="B345" s="2" t="s">
        <v>6</v>
      </c>
      <c r="C345" s="2" t="s">
        <v>210</v>
      </c>
      <c r="D345" s="2" t="s">
        <v>134</v>
      </c>
      <c r="E345" s="2" t="s">
        <v>426</v>
      </c>
      <c r="F345" s="2" t="s">
        <v>427</v>
      </c>
      <c r="G345" s="2" t="s">
        <v>120</v>
      </c>
      <c r="H345" s="2" t="s">
        <v>10</v>
      </c>
      <c r="I345" s="2" t="s">
        <v>34</v>
      </c>
      <c r="J345" s="2" t="s">
        <v>58</v>
      </c>
      <c r="K345" s="3">
        <v>140.68</v>
      </c>
      <c r="L345" s="3">
        <v>16.93</v>
      </c>
    </row>
    <row r="346" spans="1:12" ht="20.100000000000001" customHeight="1" x14ac:dyDescent="0.25">
      <c r="A346" s="2" t="s">
        <v>15</v>
      </c>
      <c r="B346" s="2" t="s">
        <v>2</v>
      </c>
      <c r="C346" s="2" t="s">
        <v>238</v>
      </c>
      <c r="D346" s="2" t="s">
        <v>30</v>
      </c>
      <c r="E346" s="2" t="s">
        <v>428</v>
      </c>
      <c r="F346" s="2" t="s">
        <v>341</v>
      </c>
      <c r="G346" s="2" t="s">
        <v>120</v>
      </c>
      <c r="H346" s="2" t="s">
        <v>10</v>
      </c>
      <c r="I346" s="2" t="s">
        <v>34</v>
      </c>
      <c r="J346" s="2" t="s">
        <v>58</v>
      </c>
      <c r="K346" s="3">
        <v>140.58000000000001</v>
      </c>
      <c r="L346" s="3">
        <v>5.62</v>
      </c>
    </row>
    <row r="347" spans="1:12" ht="20.100000000000001" customHeight="1" x14ac:dyDescent="0.25">
      <c r="A347" s="2" t="s">
        <v>9</v>
      </c>
      <c r="B347" s="2" t="s">
        <v>5</v>
      </c>
      <c r="C347" s="2" t="s">
        <v>423</v>
      </c>
      <c r="D347" s="2" t="s">
        <v>37</v>
      </c>
      <c r="E347" s="2" t="s">
        <v>424</v>
      </c>
      <c r="F347" s="2" t="s">
        <v>425</v>
      </c>
      <c r="G347" s="2" t="s">
        <v>83</v>
      </c>
      <c r="H347" s="2" t="s">
        <v>10</v>
      </c>
      <c r="I347" s="2" t="s">
        <v>34</v>
      </c>
      <c r="J347" s="2" t="s">
        <v>267</v>
      </c>
      <c r="K347" s="3">
        <v>138.29</v>
      </c>
      <c r="L347" s="3">
        <v>0</v>
      </c>
    </row>
    <row r="348" spans="1:12" ht="20.100000000000001" customHeight="1" x14ac:dyDescent="0.25">
      <c r="A348" s="2" t="s">
        <v>15</v>
      </c>
      <c r="B348" s="2" t="s">
        <v>6</v>
      </c>
      <c r="C348" s="2" t="s">
        <v>117</v>
      </c>
      <c r="D348" s="2" t="s">
        <v>118</v>
      </c>
      <c r="E348" s="2" t="s">
        <v>429</v>
      </c>
      <c r="F348" s="2" t="s">
        <v>430</v>
      </c>
      <c r="G348" s="2" t="s">
        <v>33</v>
      </c>
      <c r="H348" s="2" t="s">
        <v>10</v>
      </c>
      <c r="I348" s="2" t="s">
        <v>34</v>
      </c>
      <c r="J348" s="2" t="s">
        <v>237</v>
      </c>
      <c r="K348" s="3">
        <v>136.72999999999999</v>
      </c>
      <c r="L348" s="3">
        <v>5.47</v>
      </c>
    </row>
    <row r="349" spans="1:12" ht="20.100000000000001" customHeight="1" x14ac:dyDescent="0.25">
      <c r="A349" s="2" t="s">
        <v>15</v>
      </c>
      <c r="B349" s="2" t="s">
        <v>3</v>
      </c>
      <c r="C349" s="2" t="s">
        <v>80</v>
      </c>
      <c r="D349" s="2" t="s">
        <v>37</v>
      </c>
      <c r="E349" s="2" t="s">
        <v>431</v>
      </c>
      <c r="F349" s="2" t="s">
        <v>348</v>
      </c>
      <c r="G349" s="2" t="s">
        <v>78</v>
      </c>
      <c r="H349" s="2" t="s">
        <v>10</v>
      </c>
      <c r="I349" s="2" t="s">
        <v>34</v>
      </c>
      <c r="J349" s="2" t="s">
        <v>84</v>
      </c>
      <c r="K349" s="3">
        <v>135.72</v>
      </c>
      <c r="L349" s="3">
        <v>14.8</v>
      </c>
    </row>
    <row r="350" spans="1:12" ht="20.100000000000001" customHeight="1" x14ac:dyDescent="0.25">
      <c r="A350" s="2" t="s">
        <v>15</v>
      </c>
      <c r="B350" s="2" t="s">
        <v>3</v>
      </c>
      <c r="C350" s="2" t="s">
        <v>80</v>
      </c>
      <c r="D350" s="2" t="s">
        <v>37</v>
      </c>
      <c r="E350" s="2" t="s">
        <v>432</v>
      </c>
      <c r="F350" s="2" t="s">
        <v>82</v>
      </c>
      <c r="G350" s="2" t="s">
        <v>83</v>
      </c>
      <c r="H350" s="2" t="s">
        <v>10</v>
      </c>
      <c r="I350" s="2" t="s">
        <v>34</v>
      </c>
      <c r="J350" s="2" t="s">
        <v>84</v>
      </c>
      <c r="K350" s="3">
        <v>135.72</v>
      </c>
      <c r="L350" s="3">
        <v>14.81</v>
      </c>
    </row>
    <row r="351" spans="1:12" ht="20.100000000000001" customHeight="1" x14ac:dyDescent="0.25">
      <c r="A351" s="2" t="s">
        <v>15</v>
      </c>
      <c r="B351" s="2" t="s">
        <v>5</v>
      </c>
      <c r="C351" s="2" t="s">
        <v>100</v>
      </c>
      <c r="D351" s="2" t="s">
        <v>37</v>
      </c>
      <c r="E351" s="2" t="s">
        <v>433</v>
      </c>
      <c r="F351" s="2" t="s">
        <v>224</v>
      </c>
      <c r="G351" s="2" t="s">
        <v>78</v>
      </c>
      <c r="H351" s="2" t="s">
        <v>10</v>
      </c>
      <c r="I351" s="2" t="s">
        <v>34</v>
      </c>
      <c r="J351" s="2" t="s">
        <v>58</v>
      </c>
      <c r="K351" s="3">
        <v>135.19</v>
      </c>
      <c r="L351" s="3">
        <v>14.75</v>
      </c>
    </row>
    <row r="352" spans="1:12" ht="20.100000000000001" customHeight="1" x14ac:dyDescent="0.25">
      <c r="A352" s="2" t="s">
        <v>15</v>
      </c>
      <c r="B352" s="2" t="s">
        <v>3</v>
      </c>
      <c r="C352" s="2" t="s">
        <v>96</v>
      </c>
      <c r="D352" s="2" t="s">
        <v>63</v>
      </c>
      <c r="E352" s="2" t="s">
        <v>434</v>
      </c>
      <c r="F352" s="2" t="s">
        <v>163</v>
      </c>
      <c r="G352" s="2" t="s">
        <v>33</v>
      </c>
      <c r="H352" s="2" t="s">
        <v>10</v>
      </c>
      <c r="I352" s="2" t="s">
        <v>34</v>
      </c>
      <c r="J352" s="2" t="s">
        <v>58</v>
      </c>
      <c r="K352" s="3">
        <v>132.6</v>
      </c>
      <c r="L352" s="3">
        <v>5.3</v>
      </c>
    </row>
    <row r="353" spans="1:12" ht="20.100000000000001" customHeight="1" x14ac:dyDescent="0.25">
      <c r="A353" s="2" t="s">
        <v>15</v>
      </c>
      <c r="B353" s="2" t="s">
        <v>3</v>
      </c>
      <c r="C353" s="2" t="s">
        <v>96</v>
      </c>
      <c r="D353" s="2" t="s">
        <v>63</v>
      </c>
      <c r="E353" s="2" t="s">
        <v>435</v>
      </c>
      <c r="F353" s="2" t="s">
        <v>163</v>
      </c>
      <c r="G353" s="2" t="s">
        <v>33</v>
      </c>
      <c r="H353" s="2" t="s">
        <v>10</v>
      </c>
      <c r="I353" s="2" t="s">
        <v>34</v>
      </c>
      <c r="J353" s="2" t="s">
        <v>46</v>
      </c>
      <c r="K353" s="3">
        <v>130</v>
      </c>
      <c r="L353" s="3">
        <v>5.2</v>
      </c>
    </row>
    <row r="354" spans="1:12" ht="20.100000000000001" customHeight="1" x14ac:dyDescent="0.25">
      <c r="A354" s="2" t="s">
        <v>15</v>
      </c>
      <c r="B354" s="2" t="s">
        <v>4</v>
      </c>
      <c r="C354" s="2" t="s">
        <v>133</v>
      </c>
      <c r="D354" s="2" t="s">
        <v>134</v>
      </c>
      <c r="E354" s="2" t="s">
        <v>436</v>
      </c>
      <c r="F354" s="2" t="s">
        <v>258</v>
      </c>
      <c r="G354" s="2" t="s">
        <v>120</v>
      </c>
      <c r="H354" s="2" t="s">
        <v>10</v>
      </c>
      <c r="I354" s="2" t="s">
        <v>34</v>
      </c>
      <c r="J354" s="2" t="s">
        <v>58</v>
      </c>
      <c r="K354" s="3">
        <v>128.22</v>
      </c>
      <c r="L354" s="3">
        <v>15.39</v>
      </c>
    </row>
    <row r="355" spans="1:12" ht="20.100000000000001" customHeight="1" x14ac:dyDescent="0.25">
      <c r="A355" s="2" t="s">
        <v>15</v>
      </c>
      <c r="B355" s="2" t="s">
        <v>4</v>
      </c>
      <c r="C355" s="2" t="s">
        <v>111</v>
      </c>
      <c r="D355" s="2" t="s">
        <v>30</v>
      </c>
      <c r="E355" s="2" t="s">
        <v>307</v>
      </c>
      <c r="F355" s="2" t="s">
        <v>102</v>
      </c>
      <c r="G355" s="2" t="s">
        <v>124</v>
      </c>
      <c r="H355" s="2" t="s">
        <v>10</v>
      </c>
      <c r="I355" s="2" t="s">
        <v>34</v>
      </c>
      <c r="J355" s="2" t="s">
        <v>74</v>
      </c>
      <c r="K355" s="3">
        <v>127.98</v>
      </c>
      <c r="L355" s="3">
        <v>16.100000000000001</v>
      </c>
    </row>
    <row r="356" spans="1:12" ht="20.100000000000001" customHeight="1" x14ac:dyDescent="0.25">
      <c r="A356" s="2" t="s">
        <v>15</v>
      </c>
      <c r="B356" s="2" t="s">
        <v>2</v>
      </c>
      <c r="C356" s="2" t="s">
        <v>111</v>
      </c>
      <c r="D356" s="2" t="s">
        <v>30</v>
      </c>
      <c r="E356" s="2" t="s">
        <v>307</v>
      </c>
      <c r="F356" s="2" t="s">
        <v>102</v>
      </c>
      <c r="G356" s="2" t="s">
        <v>124</v>
      </c>
      <c r="H356" s="2" t="s">
        <v>10</v>
      </c>
      <c r="I356" s="2" t="s">
        <v>34</v>
      </c>
      <c r="J356" s="2" t="s">
        <v>74</v>
      </c>
      <c r="K356" s="3">
        <v>127.98</v>
      </c>
      <c r="L356" s="3">
        <v>15.36</v>
      </c>
    </row>
    <row r="357" spans="1:12" ht="20.100000000000001" customHeight="1" x14ac:dyDescent="0.25">
      <c r="A357" s="2" t="s">
        <v>9</v>
      </c>
      <c r="B357" s="2" t="s">
        <v>5</v>
      </c>
      <c r="C357" s="2" t="s">
        <v>423</v>
      </c>
      <c r="D357" s="2" t="s">
        <v>37</v>
      </c>
      <c r="E357" s="2" t="s">
        <v>437</v>
      </c>
      <c r="F357" s="2" t="s">
        <v>425</v>
      </c>
      <c r="G357" s="2" t="s">
        <v>83</v>
      </c>
      <c r="H357" s="2" t="s">
        <v>10</v>
      </c>
      <c r="I357" s="2" t="s">
        <v>34</v>
      </c>
      <c r="J357" s="2" t="s">
        <v>267</v>
      </c>
      <c r="K357" s="3">
        <v>127.25</v>
      </c>
      <c r="L357" s="3">
        <v>0</v>
      </c>
    </row>
    <row r="358" spans="1:12" ht="20.100000000000001" customHeight="1" x14ac:dyDescent="0.25">
      <c r="A358" s="2" t="s">
        <v>15</v>
      </c>
      <c r="B358" s="2" t="s">
        <v>4</v>
      </c>
      <c r="C358" s="2" t="s">
        <v>111</v>
      </c>
      <c r="D358" s="2" t="s">
        <v>30</v>
      </c>
      <c r="E358" s="2" t="s">
        <v>438</v>
      </c>
      <c r="F358" s="2" t="s">
        <v>102</v>
      </c>
      <c r="G358" s="2" t="s">
        <v>124</v>
      </c>
      <c r="H358" s="2" t="s">
        <v>10</v>
      </c>
      <c r="I358" s="2" t="s">
        <v>34</v>
      </c>
      <c r="J358" s="2" t="s">
        <v>74</v>
      </c>
      <c r="K358" s="3">
        <v>126.12</v>
      </c>
      <c r="L358" s="3">
        <v>15.87</v>
      </c>
    </row>
    <row r="359" spans="1:12" ht="20.100000000000001" customHeight="1" x14ac:dyDescent="0.25">
      <c r="A359" s="2" t="s">
        <v>15</v>
      </c>
      <c r="B359" s="2" t="s">
        <v>2</v>
      </c>
      <c r="C359" s="2" t="s">
        <v>111</v>
      </c>
      <c r="D359" s="2" t="s">
        <v>30</v>
      </c>
      <c r="E359" s="2" t="s">
        <v>438</v>
      </c>
      <c r="F359" s="2" t="s">
        <v>102</v>
      </c>
      <c r="G359" s="2" t="s">
        <v>124</v>
      </c>
      <c r="H359" s="2" t="s">
        <v>10</v>
      </c>
      <c r="I359" s="2" t="s">
        <v>34</v>
      </c>
      <c r="J359" s="2" t="s">
        <v>74</v>
      </c>
      <c r="K359" s="3">
        <v>126.12</v>
      </c>
      <c r="L359" s="3">
        <v>15.13</v>
      </c>
    </row>
    <row r="360" spans="1:12" ht="20.100000000000001" customHeight="1" x14ac:dyDescent="0.25">
      <c r="A360" s="2" t="s">
        <v>15</v>
      </c>
      <c r="B360" s="2" t="s">
        <v>3</v>
      </c>
      <c r="C360" s="2" t="s">
        <v>80</v>
      </c>
      <c r="D360" s="2" t="s">
        <v>37</v>
      </c>
      <c r="E360" s="2" t="s">
        <v>154</v>
      </c>
      <c r="F360" s="2" t="s">
        <v>82</v>
      </c>
      <c r="G360" s="2" t="s">
        <v>83</v>
      </c>
      <c r="H360" s="2" t="s">
        <v>10</v>
      </c>
      <c r="I360" s="2" t="s">
        <v>34</v>
      </c>
      <c r="J360" s="2" t="s">
        <v>84</v>
      </c>
      <c r="K360" s="3">
        <v>126.09</v>
      </c>
      <c r="L360" s="3">
        <v>13.76</v>
      </c>
    </row>
    <row r="361" spans="1:12" ht="20.100000000000001" customHeight="1" x14ac:dyDescent="0.25">
      <c r="A361" s="2" t="s">
        <v>15</v>
      </c>
      <c r="B361" s="2" t="s">
        <v>6</v>
      </c>
      <c r="C361" s="2" t="s">
        <v>66</v>
      </c>
      <c r="D361" s="2" t="s">
        <v>63</v>
      </c>
      <c r="E361" s="2" t="s">
        <v>439</v>
      </c>
      <c r="F361" s="2" t="s">
        <v>65</v>
      </c>
      <c r="G361" s="2" t="s">
        <v>45</v>
      </c>
      <c r="H361" s="2" t="s">
        <v>10</v>
      </c>
      <c r="I361" s="2" t="s">
        <v>34</v>
      </c>
      <c r="J361" s="2" t="s">
        <v>41</v>
      </c>
      <c r="K361" s="3">
        <v>126</v>
      </c>
      <c r="L361" s="3">
        <v>15.12</v>
      </c>
    </row>
    <row r="362" spans="1:12" ht="20.100000000000001" customHeight="1" x14ac:dyDescent="0.25">
      <c r="A362" s="2" t="s">
        <v>15</v>
      </c>
      <c r="B362" s="2" t="s">
        <v>3</v>
      </c>
      <c r="C362" s="2" t="s">
        <v>80</v>
      </c>
      <c r="D362" s="2" t="s">
        <v>37</v>
      </c>
      <c r="E362" s="2" t="s">
        <v>440</v>
      </c>
      <c r="F362" s="2" t="s">
        <v>348</v>
      </c>
      <c r="G362" s="2" t="s">
        <v>78</v>
      </c>
      <c r="H362" s="2" t="s">
        <v>10</v>
      </c>
      <c r="I362" s="2" t="s">
        <v>34</v>
      </c>
      <c r="J362" s="2" t="s">
        <v>84</v>
      </c>
      <c r="K362" s="3">
        <v>125.82</v>
      </c>
      <c r="L362" s="3">
        <v>13.73</v>
      </c>
    </row>
    <row r="363" spans="1:12" ht="20.100000000000001" customHeight="1" x14ac:dyDescent="0.25">
      <c r="A363" s="2" t="s">
        <v>15</v>
      </c>
      <c r="B363" s="2" t="s">
        <v>5</v>
      </c>
      <c r="C363" s="2" t="s">
        <v>80</v>
      </c>
      <c r="D363" s="2" t="s">
        <v>37</v>
      </c>
      <c r="E363" s="2" t="s">
        <v>441</v>
      </c>
      <c r="F363" s="2" t="s">
        <v>82</v>
      </c>
      <c r="G363" s="2" t="s">
        <v>83</v>
      </c>
      <c r="H363" s="2" t="s">
        <v>10</v>
      </c>
      <c r="I363" s="2" t="s">
        <v>34</v>
      </c>
      <c r="J363" s="2" t="s">
        <v>84</v>
      </c>
      <c r="K363" s="3">
        <v>125.82</v>
      </c>
      <c r="L363" s="3">
        <v>13.73</v>
      </c>
    </row>
    <row r="364" spans="1:12" ht="20.100000000000001" customHeight="1" x14ac:dyDescent="0.25">
      <c r="A364" s="2" t="s">
        <v>15</v>
      </c>
      <c r="B364" s="2" t="s">
        <v>3</v>
      </c>
      <c r="C364" s="2" t="s">
        <v>80</v>
      </c>
      <c r="D364" s="2" t="s">
        <v>37</v>
      </c>
      <c r="E364" s="2" t="s">
        <v>441</v>
      </c>
      <c r="F364" s="2" t="s">
        <v>82</v>
      </c>
      <c r="G364" s="2" t="s">
        <v>83</v>
      </c>
      <c r="H364" s="2" t="s">
        <v>10</v>
      </c>
      <c r="I364" s="2" t="s">
        <v>34</v>
      </c>
      <c r="J364" s="2" t="s">
        <v>84</v>
      </c>
      <c r="K364" s="3">
        <v>125.82</v>
      </c>
      <c r="L364" s="3">
        <v>13.72</v>
      </c>
    </row>
    <row r="365" spans="1:12" ht="20.100000000000001" customHeight="1" x14ac:dyDescent="0.25">
      <c r="A365" s="2" t="s">
        <v>15</v>
      </c>
      <c r="B365" s="2" t="s">
        <v>5</v>
      </c>
      <c r="C365" s="2" t="s">
        <v>339</v>
      </c>
      <c r="D365" s="2" t="s">
        <v>118</v>
      </c>
      <c r="E365" s="2" t="s">
        <v>442</v>
      </c>
      <c r="F365" s="2" t="s">
        <v>443</v>
      </c>
      <c r="G365" s="2" t="s">
        <v>33</v>
      </c>
      <c r="H365" s="2" t="s">
        <v>10</v>
      </c>
      <c r="I365" s="2" t="s">
        <v>34</v>
      </c>
      <c r="J365" s="2" t="s">
        <v>237</v>
      </c>
      <c r="K365" s="3">
        <v>125.79</v>
      </c>
      <c r="L365" s="3">
        <v>5.03</v>
      </c>
    </row>
    <row r="366" spans="1:12" ht="20.100000000000001" customHeight="1" x14ac:dyDescent="0.25">
      <c r="A366" s="2" t="s">
        <v>15</v>
      </c>
      <c r="B366" s="2" t="s">
        <v>2</v>
      </c>
      <c r="C366" s="2" t="s">
        <v>238</v>
      </c>
      <c r="D366" s="2" t="s">
        <v>30</v>
      </c>
      <c r="E366" s="2" t="s">
        <v>444</v>
      </c>
      <c r="F366" s="2" t="s">
        <v>240</v>
      </c>
      <c r="G366" s="2" t="s">
        <v>120</v>
      </c>
      <c r="H366" s="2" t="s">
        <v>10</v>
      </c>
      <c r="I366" s="2" t="s">
        <v>34</v>
      </c>
      <c r="J366" s="2" t="s">
        <v>58</v>
      </c>
      <c r="K366" s="3">
        <v>125.25</v>
      </c>
      <c r="L366" s="3">
        <v>5.01</v>
      </c>
    </row>
    <row r="367" spans="1:12" ht="20.100000000000001" customHeight="1" x14ac:dyDescent="0.25">
      <c r="A367" s="2" t="s">
        <v>15</v>
      </c>
      <c r="B367" s="2" t="s">
        <v>2</v>
      </c>
      <c r="C367" s="2" t="s">
        <v>238</v>
      </c>
      <c r="D367" s="2" t="s">
        <v>30</v>
      </c>
      <c r="E367" s="2" t="s">
        <v>445</v>
      </c>
      <c r="F367" s="2" t="s">
        <v>240</v>
      </c>
      <c r="G367" s="2" t="s">
        <v>120</v>
      </c>
      <c r="H367" s="2" t="s">
        <v>10</v>
      </c>
      <c r="I367" s="2" t="s">
        <v>34</v>
      </c>
      <c r="J367" s="2" t="s">
        <v>58</v>
      </c>
      <c r="K367" s="3">
        <v>125.25</v>
      </c>
      <c r="L367" s="3">
        <v>5.01</v>
      </c>
    </row>
    <row r="368" spans="1:12" ht="20.100000000000001" customHeight="1" x14ac:dyDescent="0.25">
      <c r="A368" s="2" t="s">
        <v>15</v>
      </c>
      <c r="B368" s="2" t="s">
        <v>4</v>
      </c>
      <c r="C368" s="2" t="s">
        <v>201</v>
      </c>
      <c r="D368" s="2" t="s">
        <v>138</v>
      </c>
      <c r="E368" s="2" t="s">
        <v>446</v>
      </c>
      <c r="F368" s="2" t="s">
        <v>203</v>
      </c>
      <c r="G368" s="2" t="s">
        <v>45</v>
      </c>
      <c r="H368" s="2" t="s">
        <v>10</v>
      </c>
      <c r="I368" s="2" t="s">
        <v>34</v>
      </c>
      <c r="J368" s="2" t="s">
        <v>46</v>
      </c>
      <c r="K368" s="3">
        <v>123.52</v>
      </c>
      <c r="L368" s="3">
        <v>14.82</v>
      </c>
    </row>
    <row r="369" spans="1:12" ht="20.100000000000001" customHeight="1" x14ac:dyDescent="0.25">
      <c r="A369" s="2" t="s">
        <v>15</v>
      </c>
      <c r="B369" s="2" t="s">
        <v>6</v>
      </c>
      <c r="C369" s="2" t="s">
        <v>210</v>
      </c>
      <c r="D369" s="2" t="s">
        <v>134</v>
      </c>
      <c r="E369" s="2" t="s">
        <v>447</v>
      </c>
      <c r="F369" s="2" t="s">
        <v>427</v>
      </c>
      <c r="G369" s="2" t="s">
        <v>120</v>
      </c>
      <c r="H369" s="2" t="s">
        <v>10</v>
      </c>
      <c r="I369" s="2" t="s">
        <v>34</v>
      </c>
      <c r="J369" s="2" t="s">
        <v>58</v>
      </c>
      <c r="K369" s="3">
        <v>121.65</v>
      </c>
      <c r="L369" s="3">
        <v>14.64</v>
      </c>
    </row>
    <row r="370" spans="1:12" ht="20.100000000000001" customHeight="1" x14ac:dyDescent="0.25">
      <c r="A370" s="2" t="s">
        <v>15</v>
      </c>
      <c r="B370" s="2" t="s">
        <v>3</v>
      </c>
      <c r="C370" s="2" t="s">
        <v>100</v>
      </c>
      <c r="D370" s="2" t="s">
        <v>37</v>
      </c>
      <c r="E370" s="2" t="s">
        <v>448</v>
      </c>
      <c r="F370" s="2" t="s">
        <v>449</v>
      </c>
      <c r="G370" s="2" t="s">
        <v>83</v>
      </c>
      <c r="H370" s="2" t="s">
        <v>10</v>
      </c>
      <c r="I370" s="2" t="s">
        <v>34</v>
      </c>
      <c r="J370" s="2" t="s">
        <v>58</v>
      </c>
      <c r="K370" s="3">
        <v>121.14</v>
      </c>
      <c r="L370" s="3">
        <v>13.22</v>
      </c>
    </row>
    <row r="371" spans="1:12" ht="20.100000000000001" customHeight="1" x14ac:dyDescent="0.25">
      <c r="A371" s="2" t="s">
        <v>15</v>
      </c>
      <c r="B371" s="2" t="s">
        <v>7</v>
      </c>
      <c r="C371" s="2" t="s">
        <v>100</v>
      </c>
      <c r="D371" s="2" t="s">
        <v>37</v>
      </c>
      <c r="E371" s="2" t="s">
        <v>450</v>
      </c>
      <c r="F371" s="2" t="s">
        <v>449</v>
      </c>
      <c r="G371" s="2" t="s">
        <v>83</v>
      </c>
      <c r="H371" s="2" t="s">
        <v>10</v>
      </c>
      <c r="I371" s="2" t="s">
        <v>34</v>
      </c>
      <c r="J371" s="2" t="s">
        <v>58</v>
      </c>
      <c r="K371" s="3">
        <v>121.14</v>
      </c>
      <c r="L371" s="3">
        <v>13.22</v>
      </c>
    </row>
    <row r="372" spans="1:12" ht="20.100000000000001" customHeight="1" x14ac:dyDescent="0.25">
      <c r="A372" s="2" t="s">
        <v>15</v>
      </c>
      <c r="B372" s="2" t="s">
        <v>5</v>
      </c>
      <c r="C372" s="2" t="s">
        <v>100</v>
      </c>
      <c r="D372" s="2" t="s">
        <v>37</v>
      </c>
      <c r="E372" s="2" t="s">
        <v>451</v>
      </c>
      <c r="F372" s="2" t="s">
        <v>449</v>
      </c>
      <c r="G372" s="2" t="s">
        <v>83</v>
      </c>
      <c r="H372" s="2" t="s">
        <v>10</v>
      </c>
      <c r="I372" s="2" t="s">
        <v>34</v>
      </c>
      <c r="J372" s="2" t="s">
        <v>58</v>
      </c>
      <c r="K372" s="3">
        <v>121.14</v>
      </c>
      <c r="L372" s="3">
        <v>13.22</v>
      </c>
    </row>
    <row r="373" spans="1:12" ht="20.100000000000001" customHeight="1" x14ac:dyDescent="0.25">
      <c r="A373" s="2" t="s">
        <v>15</v>
      </c>
      <c r="B373" s="2" t="s">
        <v>2</v>
      </c>
      <c r="C373" s="2" t="s">
        <v>100</v>
      </c>
      <c r="D373" s="2" t="s">
        <v>37</v>
      </c>
      <c r="E373" s="2" t="s">
        <v>451</v>
      </c>
      <c r="F373" s="2" t="s">
        <v>449</v>
      </c>
      <c r="G373" s="2" t="s">
        <v>83</v>
      </c>
      <c r="H373" s="2" t="s">
        <v>10</v>
      </c>
      <c r="I373" s="2" t="s">
        <v>34</v>
      </c>
      <c r="J373" s="2" t="s">
        <v>58</v>
      </c>
      <c r="K373" s="3">
        <v>121.14</v>
      </c>
      <c r="L373" s="3">
        <v>13.22</v>
      </c>
    </row>
    <row r="374" spans="1:12" ht="20.100000000000001" customHeight="1" x14ac:dyDescent="0.25">
      <c r="A374" s="2" t="s">
        <v>15</v>
      </c>
      <c r="B374" s="2" t="s">
        <v>2</v>
      </c>
      <c r="C374" s="2" t="s">
        <v>238</v>
      </c>
      <c r="D374" s="2" t="s">
        <v>30</v>
      </c>
      <c r="E374" s="2" t="s">
        <v>452</v>
      </c>
      <c r="F374" s="2" t="s">
        <v>341</v>
      </c>
      <c r="G374" s="2" t="s">
        <v>120</v>
      </c>
      <c r="H374" s="2" t="s">
        <v>10</v>
      </c>
      <c r="I374" s="2" t="s">
        <v>34</v>
      </c>
      <c r="J374" s="2" t="s">
        <v>58</v>
      </c>
      <c r="K374" s="3">
        <v>120.23</v>
      </c>
      <c r="L374" s="3">
        <v>4.8099999999999996</v>
      </c>
    </row>
    <row r="375" spans="1:12" ht="20.100000000000001" customHeight="1" x14ac:dyDescent="0.25">
      <c r="A375" s="2" t="s">
        <v>15</v>
      </c>
      <c r="B375" s="2" t="s">
        <v>6</v>
      </c>
      <c r="C375" s="2" t="s">
        <v>210</v>
      </c>
      <c r="D375" s="2" t="s">
        <v>134</v>
      </c>
      <c r="E375" s="2" t="s">
        <v>453</v>
      </c>
      <c r="F375" s="2" t="s">
        <v>454</v>
      </c>
      <c r="G375" s="2" t="s">
        <v>120</v>
      </c>
      <c r="H375" s="2" t="s">
        <v>10</v>
      </c>
      <c r="I375" s="2" t="s">
        <v>34</v>
      </c>
      <c r="J375" s="2" t="s">
        <v>58</v>
      </c>
      <c r="K375" s="3">
        <v>118.9</v>
      </c>
      <c r="L375" s="3">
        <v>4.7699999999999996</v>
      </c>
    </row>
    <row r="376" spans="1:12" ht="20.100000000000001" customHeight="1" x14ac:dyDescent="0.25">
      <c r="A376" s="2" t="s">
        <v>15</v>
      </c>
      <c r="B376" s="2" t="s">
        <v>7</v>
      </c>
      <c r="C376" s="2" t="s">
        <v>111</v>
      </c>
      <c r="D376" s="2" t="s">
        <v>30</v>
      </c>
      <c r="E376" s="2" t="s">
        <v>438</v>
      </c>
      <c r="F376" s="2" t="s">
        <v>102</v>
      </c>
      <c r="G376" s="2" t="s">
        <v>124</v>
      </c>
      <c r="H376" s="2" t="s">
        <v>10</v>
      </c>
      <c r="I376" s="2" t="s">
        <v>34</v>
      </c>
      <c r="J376" s="2" t="s">
        <v>74</v>
      </c>
      <c r="K376" s="3">
        <v>118.56</v>
      </c>
      <c r="L376" s="3">
        <v>14.23</v>
      </c>
    </row>
    <row r="377" spans="1:12" ht="20.100000000000001" customHeight="1" x14ac:dyDescent="0.25">
      <c r="A377" s="2" t="s">
        <v>15</v>
      </c>
      <c r="B377" s="2" t="s">
        <v>3</v>
      </c>
      <c r="C377" s="2" t="s">
        <v>96</v>
      </c>
      <c r="D377" s="2" t="s">
        <v>63</v>
      </c>
      <c r="E377" s="2" t="s">
        <v>455</v>
      </c>
      <c r="F377" s="2" t="s">
        <v>163</v>
      </c>
      <c r="G377" s="2" t="s">
        <v>33</v>
      </c>
      <c r="H377" s="2" t="s">
        <v>10</v>
      </c>
      <c r="I377" s="2" t="s">
        <v>34</v>
      </c>
      <c r="J377" s="2" t="s">
        <v>58</v>
      </c>
      <c r="K377" s="3">
        <v>117.64</v>
      </c>
      <c r="L377" s="3">
        <v>4.71</v>
      </c>
    </row>
    <row r="378" spans="1:12" ht="20.100000000000001" customHeight="1" x14ac:dyDescent="0.25">
      <c r="A378" s="2" t="s">
        <v>15</v>
      </c>
      <c r="B378" s="2" t="s">
        <v>3</v>
      </c>
      <c r="C378" s="2" t="s">
        <v>80</v>
      </c>
      <c r="D378" s="2" t="s">
        <v>37</v>
      </c>
      <c r="E378" s="2" t="s">
        <v>456</v>
      </c>
      <c r="F378" s="2" t="s">
        <v>82</v>
      </c>
      <c r="G378" s="2" t="s">
        <v>83</v>
      </c>
      <c r="H378" s="2" t="s">
        <v>10</v>
      </c>
      <c r="I378" s="2" t="s">
        <v>34</v>
      </c>
      <c r="J378" s="2" t="s">
        <v>84</v>
      </c>
      <c r="K378" s="3">
        <v>116.91</v>
      </c>
      <c r="L378" s="3">
        <v>12.75</v>
      </c>
    </row>
    <row r="379" spans="1:12" ht="20.100000000000001" customHeight="1" x14ac:dyDescent="0.25">
      <c r="A379" s="2" t="s">
        <v>15</v>
      </c>
      <c r="B379" s="2" t="s">
        <v>7</v>
      </c>
      <c r="C379" s="2" t="s">
        <v>80</v>
      </c>
      <c r="D379" s="2" t="s">
        <v>37</v>
      </c>
      <c r="E379" s="2" t="s">
        <v>457</v>
      </c>
      <c r="F379" s="2" t="s">
        <v>82</v>
      </c>
      <c r="G379" s="2" t="s">
        <v>83</v>
      </c>
      <c r="H379" s="2" t="s">
        <v>10</v>
      </c>
      <c r="I379" s="2" t="s">
        <v>34</v>
      </c>
      <c r="J379" s="2" t="s">
        <v>84</v>
      </c>
      <c r="K379" s="3">
        <v>116.91</v>
      </c>
      <c r="L379" s="3">
        <v>12.76</v>
      </c>
    </row>
    <row r="380" spans="1:12" ht="20.100000000000001" customHeight="1" x14ac:dyDescent="0.25">
      <c r="A380" s="2" t="s">
        <v>15</v>
      </c>
      <c r="B380" s="2" t="s">
        <v>6</v>
      </c>
      <c r="C380" s="2" t="s">
        <v>96</v>
      </c>
      <c r="D380" s="2" t="s">
        <v>63</v>
      </c>
      <c r="E380" s="2" t="s">
        <v>458</v>
      </c>
      <c r="F380" s="2" t="s">
        <v>348</v>
      </c>
      <c r="G380" s="2" t="s">
        <v>33</v>
      </c>
      <c r="H380" s="2" t="s">
        <v>10</v>
      </c>
      <c r="I380" s="2" t="s">
        <v>34</v>
      </c>
      <c r="J380" s="2" t="s">
        <v>84</v>
      </c>
      <c r="K380" s="3">
        <v>116.08</v>
      </c>
      <c r="L380" s="3">
        <v>4.6399999999999997</v>
      </c>
    </row>
    <row r="381" spans="1:12" ht="20.100000000000001" customHeight="1" x14ac:dyDescent="0.25">
      <c r="A381" s="2" t="s">
        <v>15</v>
      </c>
      <c r="B381" s="2" t="s">
        <v>5</v>
      </c>
      <c r="C381" s="2" t="s">
        <v>80</v>
      </c>
      <c r="D381" s="2" t="s">
        <v>37</v>
      </c>
      <c r="E381" s="2" t="s">
        <v>183</v>
      </c>
      <c r="F381" s="2" t="s">
        <v>82</v>
      </c>
      <c r="G381" s="2" t="s">
        <v>83</v>
      </c>
      <c r="H381" s="2" t="s">
        <v>10</v>
      </c>
      <c r="I381" s="2" t="s">
        <v>34</v>
      </c>
      <c r="J381" s="2" t="s">
        <v>84</v>
      </c>
      <c r="K381" s="3">
        <v>115.38</v>
      </c>
      <c r="L381" s="3">
        <v>12.6</v>
      </c>
    </row>
    <row r="382" spans="1:12" ht="20.100000000000001" customHeight="1" x14ac:dyDescent="0.25">
      <c r="A382" s="2" t="s">
        <v>15</v>
      </c>
      <c r="B382" s="2" t="s">
        <v>3</v>
      </c>
      <c r="C382" s="2" t="s">
        <v>133</v>
      </c>
      <c r="D382" s="2" t="s">
        <v>134</v>
      </c>
      <c r="E382" s="2" t="s">
        <v>459</v>
      </c>
      <c r="F382" s="2" t="s">
        <v>258</v>
      </c>
      <c r="G382" s="2" t="s">
        <v>120</v>
      </c>
      <c r="H382" s="2" t="s">
        <v>10</v>
      </c>
      <c r="I382" s="2" t="s">
        <v>34</v>
      </c>
      <c r="J382" s="2" t="s">
        <v>58</v>
      </c>
      <c r="K382" s="3">
        <v>113.88</v>
      </c>
      <c r="L382" s="3">
        <v>13.67</v>
      </c>
    </row>
    <row r="383" spans="1:12" ht="20.100000000000001" customHeight="1" x14ac:dyDescent="0.25">
      <c r="A383" s="2" t="s">
        <v>15</v>
      </c>
      <c r="B383" s="2" t="s">
        <v>3</v>
      </c>
      <c r="C383" s="2" t="s">
        <v>100</v>
      </c>
      <c r="D383" s="2" t="s">
        <v>37</v>
      </c>
      <c r="E383" s="2" t="s">
        <v>116</v>
      </c>
      <c r="F383" s="2" t="s">
        <v>115</v>
      </c>
      <c r="G383" s="2" t="s">
        <v>83</v>
      </c>
      <c r="H383" s="2" t="s">
        <v>10</v>
      </c>
      <c r="I383" s="2" t="s">
        <v>34</v>
      </c>
      <c r="J383" s="2" t="s">
        <v>51</v>
      </c>
      <c r="K383" s="3">
        <v>111.4</v>
      </c>
      <c r="L383" s="3">
        <v>22.28</v>
      </c>
    </row>
    <row r="384" spans="1:12" ht="20.100000000000001" customHeight="1" x14ac:dyDescent="0.25">
      <c r="A384" s="2" t="s">
        <v>15</v>
      </c>
      <c r="B384" s="2" t="s">
        <v>2</v>
      </c>
      <c r="C384" s="2" t="s">
        <v>238</v>
      </c>
      <c r="D384" s="2" t="s">
        <v>30</v>
      </c>
      <c r="E384" s="2" t="s">
        <v>460</v>
      </c>
      <c r="F384" s="2" t="s">
        <v>341</v>
      </c>
      <c r="G384" s="2" t="s">
        <v>120</v>
      </c>
      <c r="H384" s="2" t="s">
        <v>10</v>
      </c>
      <c r="I384" s="2" t="s">
        <v>34</v>
      </c>
      <c r="J384" s="2" t="s">
        <v>58</v>
      </c>
      <c r="K384" s="3">
        <v>111</v>
      </c>
      <c r="L384" s="3">
        <v>4.4400000000000004</v>
      </c>
    </row>
    <row r="385" spans="1:12" ht="20.100000000000001" customHeight="1" x14ac:dyDescent="0.25">
      <c r="A385" s="2" t="s">
        <v>15</v>
      </c>
      <c r="B385" s="2" t="s">
        <v>2</v>
      </c>
      <c r="C385" s="2" t="s">
        <v>238</v>
      </c>
      <c r="D385" s="2" t="s">
        <v>30</v>
      </c>
      <c r="E385" s="2" t="s">
        <v>461</v>
      </c>
      <c r="F385" s="2" t="s">
        <v>462</v>
      </c>
      <c r="G385" s="2" t="s">
        <v>120</v>
      </c>
      <c r="H385" s="2" t="s">
        <v>10</v>
      </c>
      <c r="I385" s="2" t="s">
        <v>34</v>
      </c>
      <c r="J385" s="2" t="s">
        <v>58</v>
      </c>
      <c r="K385" s="3">
        <v>110.94</v>
      </c>
      <c r="L385" s="3">
        <v>4.4400000000000004</v>
      </c>
    </row>
    <row r="386" spans="1:12" ht="20.100000000000001" customHeight="1" x14ac:dyDescent="0.25">
      <c r="A386" s="2" t="s">
        <v>15</v>
      </c>
      <c r="B386" s="2" t="s">
        <v>7</v>
      </c>
      <c r="C386" s="2" t="s">
        <v>117</v>
      </c>
      <c r="D386" s="2" t="s">
        <v>118</v>
      </c>
      <c r="E386" s="2" t="s">
        <v>463</v>
      </c>
      <c r="F386" s="2" t="s">
        <v>384</v>
      </c>
      <c r="G386" s="2" t="s">
        <v>33</v>
      </c>
      <c r="H386" s="2" t="s">
        <v>10</v>
      </c>
      <c r="I386" s="2" t="s">
        <v>34</v>
      </c>
      <c r="J386" s="2" t="s">
        <v>237</v>
      </c>
      <c r="K386" s="3">
        <v>110.54</v>
      </c>
      <c r="L386" s="3">
        <v>4.42</v>
      </c>
    </row>
    <row r="387" spans="1:12" ht="20.100000000000001" customHeight="1" x14ac:dyDescent="0.25">
      <c r="A387" s="2" t="s">
        <v>15</v>
      </c>
      <c r="B387" s="2" t="s">
        <v>6</v>
      </c>
      <c r="C387" s="2" t="s">
        <v>142</v>
      </c>
      <c r="D387" s="2" t="s">
        <v>143</v>
      </c>
      <c r="E387" s="2" t="s">
        <v>464</v>
      </c>
      <c r="F387" s="2" t="s">
        <v>465</v>
      </c>
      <c r="G387" s="2" t="s">
        <v>45</v>
      </c>
      <c r="H387" s="2" t="s">
        <v>10</v>
      </c>
      <c r="I387" s="2" t="s">
        <v>34</v>
      </c>
      <c r="J387" s="2" t="s">
        <v>74</v>
      </c>
      <c r="K387" s="3">
        <v>109.68</v>
      </c>
      <c r="L387" s="3">
        <v>14.48</v>
      </c>
    </row>
    <row r="388" spans="1:12" ht="20.100000000000001" customHeight="1" x14ac:dyDescent="0.25">
      <c r="A388" s="2" t="s">
        <v>15</v>
      </c>
      <c r="B388" s="2" t="s">
        <v>7</v>
      </c>
      <c r="C388" s="2" t="s">
        <v>80</v>
      </c>
      <c r="D388" s="2" t="s">
        <v>37</v>
      </c>
      <c r="E388" s="2" t="s">
        <v>466</v>
      </c>
      <c r="F388" s="2" t="s">
        <v>82</v>
      </c>
      <c r="G388" s="2" t="s">
        <v>83</v>
      </c>
      <c r="H388" s="2" t="s">
        <v>10</v>
      </c>
      <c r="I388" s="2" t="s">
        <v>34</v>
      </c>
      <c r="J388" s="2" t="s">
        <v>84</v>
      </c>
      <c r="K388" s="3">
        <v>109.62</v>
      </c>
      <c r="L388" s="3">
        <v>11.97</v>
      </c>
    </row>
    <row r="389" spans="1:12" ht="20.100000000000001" customHeight="1" x14ac:dyDescent="0.25">
      <c r="A389" s="2" t="s">
        <v>15</v>
      </c>
      <c r="B389" s="2" t="s">
        <v>5</v>
      </c>
      <c r="C389" s="2" t="s">
        <v>66</v>
      </c>
      <c r="D389" s="2" t="s">
        <v>63</v>
      </c>
      <c r="E389" s="2" t="s">
        <v>439</v>
      </c>
      <c r="F389" s="2" t="s">
        <v>65</v>
      </c>
      <c r="G389" s="2" t="s">
        <v>45</v>
      </c>
      <c r="H389" s="2" t="s">
        <v>10</v>
      </c>
      <c r="I389" s="2" t="s">
        <v>34</v>
      </c>
      <c r="J389" s="2" t="s">
        <v>41</v>
      </c>
      <c r="K389" s="3">
        <v>109.2</v>
      </c>
      <c r="L389" s="3">
        <v>13.1</v>
      </c>
    </row>
    <row r="390" spans="1:12" ht="20.100000000000001" customHeight="1" x14ac:dyDescent="0.25">
      <c r="A390" s="2" t="s">
        <v>15</v>
      </c>
      <c r="B390" s="2" t="s">
        <v>6</v>
      </c>
      <c r="C390" s="2" t="s">
        <v>210</v>
      </c>
      <c r="D390" s="2" t="s">
        <v>134</v>
      </c>
      <c r="E390" s="2" t="s">
        <v>467</v>
      </c>
      <c r="F390" s="2" t="s">
        <v>266</v>
      </c>
      <c r="G390" s="2" t="s">
        <v>33</v>
      </c>
      <c r="H390" s="2" t="s">
        <v>10</v>
      </c>
      <c r="I390" s="2" t="s">
        <v>34</v>
      </c>
      <c r="J390" s="2" t="s">
        <v>267</v>
      </c>
      <c r="K390" s="3">
        <v>107.22</v>
      </c>
      <c r="L390" s="3">
        <v>12.91</v>
      </c>
    </row>
    <row r="391" spans="1:12" ht="20.100000000000001" customHeight="1" x14ac:dyDescent="0.25">
      <c r="A391" s="2" t="s">
        <v>15</v>
      </c>
      <c r="B391" s="2" t="s">
        <v>3</v>
      </c>
      <c r="C391" s="2" t="s">
        <v>80</v>
      </c>
      <c r="D391" s="2" t="s">
        <v>37</v>
      </c>
      <c r="E391" s="2" t="s">
        <v>468</v>
      </c>
      <c r="F391" s="2" t="s">
        <v>82</v>
      </c>
      <c r="G391" s="2" t="s">
        <v>83</v>
      </c>
      <c r="H391" s="2" t="s">
        <v>10</v>
      </c>
      <c r="I391" s="2" t="s">
        <v>34</v>
      </c>
      <c r="J391" s="2" t="s">
        <v>84</v>
      </c>
      <c r="K391" s="3">
        <v>107.19</v>
      </c>
      <c r="L391" s="3">
        <v>11.69</v>
      </c>
    </row>
    <row r="392" spans="1:12" ht="20.100000000000001" customHeight="1" x14ac:dyDescent="0.25">
      <c r="A392" s="2" t="s">
        <v>15</v>
      </c>
      <c r="B392" s="2" t="s">
        <v>7</v>
      </c>
      <c r="C392" s="2" t="s">
        <v>96</v>
      </c>
      <c r="D392" s="2" t="s">
        <v>63</v>
      </c>
      <c r="E392" s="2" t="s">
        <v>469</v>
      </c>
      <c r="F392" s="2" t="s">
        <v>358</v>
      </c>
      <c r="G392" s="2" t="s">
        <v>33</v>
      </c>
      <c r="H392" s="2" t="s">
        <v>10</v>
      </c>
      <c r="I392" s="2" t="s">
        <v>34</v>
      </c>
      <c r="J392" s="2" t="s">
        <v>51</v>
      </c>
      <c r="K392" s="3">
        <v>106.78</v>
      </c>
      <c r="L392" s="3">
        <v>4.2699999999999996</v>
      </c>
    </row>
    <row r="393" spans="1:12" ht="20.100000000000001" customHeight="1" x14ac:dyDescent="0.25">
      <c r="A393" s="2" t="s">
        <v>15</v>
      </c>
      <c r="B393" s="2" t="s">
        <v>7</v>
      </c>
      <c r="C393" s="2" t="s">
        <v>96</v>
      </c>
      <c r="D393" s="2" t="s">
        <v>63</v>
      </c>
      <c r="E393" s="2" t="s">
        <v>346</v>
      </c>
      <c r="F393" s="2" t="s">
        <v>163</v>
      </c>
      <c r="G393" s="2" t="s">
        <v>33</v>
      </c>
      <c r="H393" s="2" t="s">
        <v>10</v>
      </c>
      <c r="I393" s="2" t="s">
        <v>34</v>
      </c>
      <c r="J393" s="2" t="s">
        <v>58</v>
      </c>
      <c r="K393" s="3">
        <v>105.58</v>
      </c>
      <c r="L393" s="3">
        <v>4.22</v>
      </c>
    </row>
    <row r="394" spans="1:12" ht="20.100000000000001" customHeight="1" x14ac:dyDescent="0.25">
      <c r="A394" s="2" t="s">
        <v>15</v>
      </c>
      <c r="B394" s="2" t="s">
        <v>5</v>
      </c>
      <c r="C394" s="2" t="s">
        <v>339</v>
      </c>
      <c r="D394" s="2" t="s">
        <v>118</v>
      </c>
      <c r="E394" s="2" t="s">
        <v>470</v>
      </c>
      <c r="F394" s="2" t="s">
        <v>471</v>
      </c>
      <c r="G394" s="2" t="s">
        <v>33</v>
      </c>
      <c r="H394" s="2" t="s">
        <v>10</v>
      </c>
      <c r="I394" s="2" t="s">
        <v>34</v>
      </c>
      <c r="J394" s="2" t="s">
        <v>84</v>
      </c>
      <c r="K394" s="3">
        <v>105.3</v>
      </c>
      <c r="L394" s="3">
        <v>4.21</v>
      </c>
    </row>
    <row r="395" spans="1:12" ht="20.100000000000001" customHeight="1" x14ac:dyDescent="0.25">
      <c r="A395" s="2" t="s">
        <v>15</v>
      </c>
      <c r="B395" s="2" t="s">
        <v>2</v>
      </c>
      <c r="C395" s="2" t="s">
        <v>238</v>
      </c>
      <c r="D395" s="2" t="s">
        <v>30</v>
      </c>
      <c r="E395" s="2" t="s">
        <v>472</v>
      </c>
      <c r="F395" s="2" t="s">
        <v>473</v>
      </c>
      <c r="G395" s="2" t="s">
        <v>120</v>
      </c>
      <c r="H395" s="2" t="s">
        <v>10</v>
      </c>
      <c r="I395" s="2" t="s">
        <v>34</v>
      </c>
      <c r="J395" s="2" t="s">
        <v>58</v>
      </c>
      <c r="K395" s="3">
        <v>104.81</v>
      </c>
      <c r="L395" s="3">
        <v>4.1900000000000004</v>
      </c>
    </row>
    <row r="396" spans="1:12" ht="20.100000000000001" customHeight="1" x14ac:dyDescent="0.25">
      <c r="A396" s="2" t="s">
        <v>15</v>
      </c>
      <c r="B396" s="2" t="s">
        <v>6</v>
      </c>
      <c r="C396" s="2" t="s">
        <v>167</v>
      </c>
      <c r="D396" s="2" t="s">
        <v>37</v>
      </c>
      <c r="E396" s="2" t="s">
        <v>474</v>
      </c>
      <c r="F396" s="2" t="s">
        <v>475</v>
      </c>
      <c r="G396" s="2" t="s">
        <v>78</v>
      </c>
      <c r="H396" s="2" t="s">
        <v>10</v>
      </c>
      <c r="I396" s="2" t="s">
        <v>34</v>
      </c>
      <c r="J396" s="2" t="s">
        <v>58</v>
      </c>
      <c r="K396" s="3">
        <v>103.7</v>
      </c>
      <c r="L396" s="3">
        <v>11.31</v>
      </c>
    </row>
    <row r="397" spans="1:12" ht="20.100000000000001" customHeight="1" x14ac:dyDescent="0.25">
      <c r="A397" s="2" t="s">
        <v>15</v>
      </c>
      <c r="B397" s="2" t="s">
        <v>6</v>
      </c>
      <c r="C397" s="2" t="s">
        <v>167</v>
      </c>
      <c r="D397" s="2" t="s">
        <v>37</v>
      </c>
      <c r="E397" s="2" t="s">
        <v>474</v>
      </c>
      <c r="F397" s="2" t="s">
        <v>475</v>
      </c>
      <c r="G397" s="2" t="s">
        <v>78</v>
      </c>
      <c r="H397" s="2" t="s">
        <v>10</v>
      </c>
      <c r="I397" s="2" t="s">
        <v>34</v>
      </c>
      <c r="J397" s="2" t="s">
        <v>58</v>
      </c>
      <c r="K397" s="3">
        <v>103.7</v>
      </c>
      <c r="L397" s="3">
        <v>11.31</v>
      </c>
    </row>
    <row r="398" spans="1:12" ht="20.100000000000001" customHeight="1" x14ac:dyDescent="0.25">
      <c r="A398" s="2" t="s">
        <v>15</v>
      </c>
      <c r="B398" s="2" t="s">
        <v>3</v>
      </c>
      <c r="C398" s="2" t="s">
        <v>96</v>
      </c>
      <c r="D398" s="2" t="s">
        <v>63</v>
      </c>
      <c r="E398" s="2" t="s">
        <v>476</v>
      </c>
      <c r="F398" s="2" t="s">
        <v>163</v>
      </c>
      <c r="G398" s="2" t="s">
        <v>33</v>
      </c>
      <c r="H398" s="2" t="s">
        <v>10</v>
      </c>
      <c r="I398" s="2" t="s">
        <v>34</v>
      </c>
      <c r="J398" s="2" t="s">
        <v>46</v>
      </c>
      <c r="K398" s="3">
        <v>103</v>
      </c>
      <c r="L398" s="3">
        <v>4.12</v>
      </c>
    </row>
    <row r="399" spans="1:12" ht="20.100000000000001" customHeight="1" x14ac:dyDescent="0.25">
      <c r="A399" s="2" t="s">
        <v>15</v>
      </c>
      <c r="B399" s="2" t="s">
        <v>3</v>
      </c>
      <c r="C399" s="2" t="s">
        <v>106</v>
      </c>
      <c r="D399" s="2" t="s">
        <v>30</v>
      </c>
      <c r="E399" s="2" t="s">
        <v>477</v>
      </c>
      <c r="F399" s="2" t="s">
        <v>478</v>
      </c>
      <c r="G399" s="2" t="s">
        <v>33</v>
      </c>
      <c r="H399" s="2" t="s">
        <v>10</v>
      </c>
      <c r="I399" s="2" t="s">
        <v>34</v>
      </c>
      <c r="J399" s="2" t="s">
        <v>58</v>
      </c>
      <c r="K399" s="3">
        <v>102.72</v>
      </c>
      <c r="L399" s="3">
        <v>4.22</v>
      </c>
    </row>
    <row r="400" spans="1:12" ht="20.100000000000001" customHeight="1" x14ac:dyDescent="0.25">
      <c r="A400" s="2" t="s">
        <v>15</v>
      </c>
      <c r="B400" s="2" t="s">
        <v>3</v>
      </c>
      <c r="C400" s="2" t="s">
        <v>80</v>
      </c>
      <c r="D400" s="2" t="s">
        <v>37</v>
      </c>
      <c r="E400" s="2" t="s">
        <v>479</v>
      </c>
      <c r="F400" s="2" t="s">
        <v>82</v>
      </c>
      <c r="G400" s="2" t="s">
        <v>83</v>
      </c>
      <c r="H400" s="2" t="s">
        <v>10</v>
      </c>
      <c r="I400" s="2" t="s">
        <v>34</v>
      </c>
      <c r="J400" s="2" t="s">
        <v>84</v>
      </c>
      <c r="K400" s="3">
        <v>102.33</v>
      </c>
      <c r="L400" s="3">
        <v>11.16</v>
      </c>
    </row>
    <row r="401" spans="1:12" ht="20.100000000000001" customHeight="1" x14ac:dyDescent="0.25">
      <c r="A401" s="2" t="s">
        <v>15</v>
      </c>
      <c r="B401" s="2" t="s">
        <v>3</v>
      </c>
      <c r="C401" s="2" t="s">
        <v>222</v>
      </c>
      <c r="D401" s="2" t="s">
        <v>30</v>
      </c>
      <c r="E401" s="2" t="s">
        <v>480</v>
      </c>
      <c r="F401" s="2" t="s">
        <v>224</v>
      </c>
      <c r="G401" s="2" t="s">
        <v>45</v>
      </c>
      <c r="H401" s="2" t="s">
        <v>10</v>
      </c>
      <c r="I401" s="2" t="s">
        <v>34</v>
      </c>
      <c r="J401" s="2" t="s">
        <v>58</v>
      </c>
      <c r="K401" s="3">
        <v>102.24</v>
      </c>
      <c r="L401" s="3">
        <v>12.27</v>
      </c>
    </row>
    <row r="402" spans="1:12" ht="20.100000000000001" customHeight="1" x14ac:dyDescent="0.25">
      <c r="A402" s="2" t="s">
        <v>15</v>
      </c>
      <c r="B402" s="2" t="s">
        <v>3</v>
      </c>
      <c r="C402" s="2" t="s">
        <v>222</v>
      </c>
      <c r="D402" s="2" t="s">
        <v>30</v>
      </c>
      <c r="E402" s="2" t="s">
        <v>481</v>
      </c>
      <c r="F402" s="2" t="s">
        <v>224</v>
      </c>
      <c r="G402" s="2" t="s">
        <v>45</v>
      </c>
      <c r="H402" s="2" t="s">
        <v>10</v>
      </c>
      <c r="I402" s="2" t="s">
        <v>34</v>
      </c>
      <c r="J402" s="2" t="s">
        <v>58</v>
      </c>
      <c r="K402" s="3">
        <v>102.24</v>
      </c>
      <c r="L402" s="3">
        <v>12.27</v>
      </c>
    </row>
    <row r="403" spans="1:12" ht="20.100000000000001" customHeight="1" x14ac:dyDescent="0.25">
      <c r="A403" s="2" t="s">
        <v>15</v>
      </c>
      <c r="B403" s="2" t="s">
        <v>3</v>
      </c>
      <c r="C403" s="2" t="s">
        <v>222</v>
      </c>
      <c r="D403" s="2" t="s">
        <v>30</v>
      </c>
      <c r="E403" s="2" t="s">
        <v>482</v>
      </c>
      <c r="F403" s="2" t="s">
        <v>224</v>
      </c>
      <c r="G403" s="2" t="s">
        <v>45</v>
      </c>
      <c r="H403" s="2" t="s">
        <v>10</v>
      </c>
      <c r="I403" s="2" t="s">
        <v>34</v>
      </c>
      <c r="J403" s="2" t="s">
        <v>58</v>
      </c>
      <c r="K403" s="3">
        <v>102.24</v>
      </c>
      <c r="L403" s="3">
        <v>12.27</v>
      </c>
    </row>
    <row r="404" spans="1:12" ht="20.100000000000001" customHeight="1" x14ac:dyDescent="0.25">
      <c r="A404" s="2" t="s">
        <v>15</v>
      </c>
      <c r="B404" s="2" t="s">
        <v>3</v>
      </c>
      <c r="C404" s="2" t="s">
        <v>222</v>
      </c>
      <c r="D404" s="2" t="s">
        <v>30</v>
      </c>
      <c r="E404" s="2" t="s">
        <v>483</v>
      </c>
      <c r="F404" s="2" t="s">
        <v>224</v>
      </c>
      <c r="G404" s="2" t="s">
        <v>45</v>
      </c>
      <c r="H404" s="2" t="s">
        <v>10</v>
      </c>
      <c r="I404" s="2" t="s">
        <v>34</v>
      </c>
      <c r="J404" s="2" t="s">
        <v>58</v>
      </c>
      <c r="K404" s="3">
        <v>102.24</v>
      </c>
      <c r="L404" s="3">
        <v>12.27</v>
      </c>
    </row>
    <row r="405" spans="1:12" ht="20.100000000000001" customHeight="1" x14ac:dyDescent="0.25">
      <c r="A405" s="2" t="s">
        <v>15</v>
      </c>
      <c r="B405" s="2" t="s">
        <v>3</v>
      </c>
      <c r="C405" s="2" t="s">
        <v>222</v>
      </c>
      <c r="D405" s="2" t="s">
        <v>30</v>
      </c>
      <c r="E405" s="2" t="s">
        <v>484</v>
      </c>
      <c r="F405" s="2" t="s">
        <v>224</v>
      </c>
      <c r="G405" s="2" t="s">
        <v>45</v>
      </c>
      <c r="H405" s="2" t="s">
        <v>10</v>
      </c>
      <c r="I405" s="2" t="s">
        <v>34</v>
      </c>
      <c r="J405" s="2" t="s">
        <v>58</v>
      </c>
      <c r="K405" s="3">
        <v>102.24</v>
      </c>
      <c r="L405" s="3">
        <v>12.27</v>
      </c>
    </row>
    <row r="406" spans="1:12" ht="20.100000000000001" customHeight="1" x14ac:dyDescent="0.25">
      <c r="A406" s="2" t="s">
        <v>15</v>
      </c>
      <c r="B406" s="2" t="s">
        <v>3</v>
      </c>
      <c r="C406" s="2" t="s">
        <v>222</v>
      </c>
      <c r="D406" s="2" t="s">
        <v>30</v>
      </c>
      <c r="E406" s="2" t="s">
        <v>485</v>
      </c>
      <c r="F406" s="2" t="s">
        <v>224</v>
      </c>
      <c r="G406" s="2" t="s">
        <v>45</v>
      </c>
      <c r="H406" s="2" t="s">
        <v>10</v>
      </c>
      <c r="I406" s="2" t="s">
        <v>34</v>
      </c>
      <c r="J406" s="2" t="s">
        <v>58</v>
      </c>
      <c r="K406" s="3">
        <v>102.24</v>
      </c>
      <c r="L406" s="3">
        <v>12.27</v>
      </c>
    </row>
    <row r="407" spans="1:12" ht="20.100000000000001" customHeight="1" x14ac:dyDescent="0.25">
      <c r="A407" s="2" t="s">
        <v>15</v>
      </c>
      <c r="B407" s="2" t="s">
        <v>3</v>
      </c>
      <c r="C407" s="2" t="s">
        <v>222</v>
      </c>
      <c r="D407" s="2" t="s">
        <v>30</v>
      </c>
      <c r="E407" s="2" t="s">
        <v>486</v>
      </c>
      <c r="F407" s="2" t="s">
        <v>224</v>
      </c>
      <c r="G407" s="2" t="s">
        <v>45</v>
      </c>
      <c r="H407" s="2" t="s">
        <v>10</v>
      </c>
      <c r="I407" s="2" t="s">
        <v>34</v>
      </c>
      <c r="J407" s="2" t="s">
        <v>58</v>
      </c>
      <c r="K407" s="3">
        <v>102.24</v>
      </c>
      <c r="L407" s="3">
        <v>12.27</v>
      </c>
    </row>
    <row r="408" spans="1:12" ht="20.100000000000001" customHeight="1" x14ac:dyDescent="0.25">
      <c r="A408" s="2" t="s">
        <v>15</v>
      </c>
      <c r="B408" s="2" t="s">
        <v>3</v>
      </c>
      <c r="C408" s="2" t="s">
        <v>96</v>
      </c>
      <c r="D408" s="2" t="s">
        <v>63</v>
      </c>
      <c r="E408" s="2" t="s">
        <v>487</v>
      </c>
      <c r="F408" s="2" t="s">
        <v>163</v>
      </c>
      <c r="G408" s="2" t="s">
        <v>33</v>
      </c>
      <c r="H408" s="2" t="s">
        <v>10</v>
      </c>
      <c r="I408" s="2" t="s">
        <v>34</v>
      </c>
      <c r="J408" s="2" t="s">
        <v>58</v>
      </c>
      <c r="K408" s="3">
        <v>101</v>
      </c>
      <c r="L408" s="3">
        <v>4.04</v>
      </c>
    </row>
    <row r="409" spans="1:12" ht="20.100000000000001" customHeight="1" x14ac:dyDescent="0.25">
      <c r="A409" s="2" t="s">
        <v>15</v>
      </c>
      <c r="B409" s="2" t="s">
        <v>7</v>
      </c>
      <c r="C409" s="2" t="s">
        <v>80</v>
      </c>
      <c r="D409" s="2" t="s">
        <v>37</v>
      </c>
      <c r="E409" s="2" t="s">
        <v>275</v>
      </c>
      <c r="F409" s="2" t="s">
        <v>82</v>
      </c>
      <c r="G409" s="2" t="s">
        <v>83</v>
      </c>
      <c r="H409" s="2" t="s">
        <v>10</v>
      </c>
      <c r="I409" s="2" t="s">
        <v>34</v>
      </c>
      <c r="J409" s="2" t="s">
        <v>84</v>
      </c>
      <c r="K409" s="3">
        <v>100.62</v>
      </c>
      <c r="L409" s="3">
        <v>10.98</v>
      </c>
    </row>
    <row r="410" spans="1:12" ht="20.100000000000001" customHeight="1" x14ac:dyDescent="0.25">
      <c r="A410" s="2" t="s">
        <v>15</v>
      </c>
      <c r="B410" s="2" t="s">
        <v>3</v>
      </c>
      <c r="C410" s="2" t="s">
        <v>106</v>
      </c>
      <c r="D410" s="2" t="s">
        <v>30</v>
      </c>
      <c r="E410" s="2" t="s">
        <v>488</v>
      </c>
      <c r="F410" s="2" t="s">
        <v>478</v>
      </c>
      <c r="G410" s="2" t="s">
        <v>33</v>
      </c>
      <c r="H410" s="2" t="s">
        <v>10</v>
      </c>
      <c r="I410" s="2" t="s">
        <v>34</v>
      </c>
      <c r="J410" s="2" t="s">
        <v>58</v>
      </c>
      <c r="K410" s="3">
        <v>99.24</v>
      </c>
      <c r="L410" s="3">
        <v>4.08</v>
      </c>
    </row>
    <row r="411" spans="1:12" ht="20.100000000000001" customHeight="1" x14ac:dyDescent="0.25">
      <c r="A411" s="2" t="s">
        <v>15</v>
      </c>
      <c r="B411" s="2" t="s">
        <v>4</v>
      </c>
      <c r="C411" s="2" t="s">
        <v>62</v>
      </c>
      <c r="D411" s="2" t="s">
        <v>63</v>
      </c>
      <c r="E411" s="2" t="s">
        <v>359</v>
      </c>
      <c r="F411" s="2" t="s">
        <v>65</v>
      </c>
      <c r="G411" s="2" t="s">
        <v>45</v>
      </c>
      <c r="H411" s="2" t="s">
        <v>10</v>
      </c>
      <c r="I411" s="2" t="s">
        <v>34</v>
      </c>
      <c r="J411" s="2" t="s">
        <v>41</v>
      </c>
      <c r="K411" s="3">
        <v>99</v>
      </c>
      <c r="L411" s="3">
        <v>11.88</v>
      </c>
    </row>
    <row r="412" spans="1:12" ht="20.100000000000001" customHeight="1" x14ac:dyDescent="0.25">
      <c r="A412" s="2" t="s">
        <v>15</v>
      </c>
      <c r="B412" s="2" t="s">
        <v>7</v>
      </c>
      <c r="C412" s="2" t="s">
        <v>62</v>
      </c>
      <c r="D412" s="2" t="s">
        <v>63</v>
      </c>
      <c r="E412" s="2" t="s">
        <v>489</v>
      </c>
      <c r="F412" s="2" t="s">
        <v>65</v>
      </c>
      <c r="G412" s="2" t="s">
        <v>45</v>
      </c>
      <c r="H412" s="2" t="s">
        <v>10</v>
      </c>
      <c r="I412" s="2" t="s">
        <v>34</v>
      </c>
      <c r="J412" s="2" t="s">
        <v>41</v>
      </c>
      <c r="K412" s="3">
        <v>99</v>
      </c>
      <c r="L412" s="3">
        <v>11.88</v>
      </c>
    </row>
    <row r="413" spans="1:12" ht="20.100000000000001" customHeight="1" x14ac:dyDescent="0.25">
      <c r="A413" s="2" t="s">
        <v>15</v>
      </c>
      <c r="B413" s="2" t="s">
        <v>4</v>
      </c>
      <c r="C413" s="2" t="s">
        <v>62</v>
      </c>
      <c r="D413" s="2" t="s">
        <v>63</v>
      </c>
      <c r="E413" s="2" t="s">
        <v>489</v>
      </c>
      <c r="F413" s="2" t="s">
        <v>65</v>
      </c>
      <c r="G413" s="2" t="s">
        <v>45</v>
      </c>
      <c r="H413" s="2" t="s">
        <v>10</v>
      </c>
      <c r="I413" s="2" t="s">
        <v>34</v>
      </c>
      <c r="J413" s="2" t="s">
        <v>41</v>
      </c>
      <c r="K413" s="3">
        <v>99</v>
      </c>
      <c r="L413" s="3">
        <v>11.88</v>
      </c>
    </row>
    <row r="414" spans="1:12" ht="20.100000000000001" customHeight="1" x14ac:dyDescent="0.25">
      <c r="A414" s="2" t="s">
        <v>15</v>
      </c>
      <c r="B414" s="2" t="s">
        <v>3</v>
      </c>
      <c r="C414" s="2" t="s">
        <v>62</v>
      </c>
      <c r="D414" s="2" t="s">
        <v>63</v>
      </c>
      <c r="E414" s="2" t="s">
        <v>489</v>
      </c>
      <c r="F414" s="2" t="s">
        <v>65</v>
      </c>
      <c r="G414" s="2" t="s">
        <v>45</v>
      </c>
      <c r="H414" s="2" t="s">
        <v>10</v>
      </c>
      <c r="I414" s="2" t="s">
        <v>34</v>
      </c>
      <c r="J414" s="2" t="s">
        <v>41</v>
      </c>
      <c r="K414" s="3">
        <v>99</v>
      </c>
      <c r="L414" s="3">
        <v>11.88</v>
      </c>
    </row>
    <row r="415" spans="1:12" ht="20.100000000000001" customHeight="1" x14ac:dyDescent="0.25">
      <c r="A415" s="2" t="s">
        <v>15</v>
      </c>
      <c r="B415" s="2" t="s">
        <v>3</v>
      </c>
      <c r="C415" s="2" t="s">
        <v>100</v>
      </c>
      <c r="D415" s="2" t="s">
        <v>37</v>
      </c>
      <c r="E415" s="2" t="s">
        <v>490</v>
      </c>
      <c r="F415" s="2" t="s">
        <v>449</v>
      </c>
      <c r="G415" s="2" t="s">
        <v>83</v>
      </c>
      <c r="H415" s="2" t="s">
        <v>10</v>
      </c>
      <c r="I415" s="2" t="s">
        <v>34</v>
      </c>
      <c r="J415" s="2" t="s">
        <v>58</v>
      </c>
      <c r="K415" s="3">
        <v>97.52</v>
      </c>
      <c r="L415" s="3">
        <v>10.64</v>
      </c>
    </row>
    <row r="416" spans="1:12" ht="20.100000000000001" customHeight="1" x14ac:dyDescent="0.25">
      <c r="A416" s="2" t="s">
        <v>15</v>
      </c>
      <c r="B416" s="2" t="s">
        <v>2</v>
      </c>
      <c r="C416" s="2" t="s">
        <v>238</v>
      </c>
      <c r="D416" s="2" t="s">
        <v>30</v>
      </c>
      <c r="E416" s="2" t="s">
        <v>491</v>
      </c>
      <c r="F416" s="2" t="s">
        <v>279</v>
      </c>
      <c r="G416" s="2" t="s">
        <v>33</v>
      </c>
      <c r="H416" s="2" t="s">
        <v>10</v>
      </c>
      <c r="I416" s="2" t="s">
        <v>34</v>
      </c>
      <c r="J416" s="2" t="s">
        <v>237</v>
      </c>
      <c r="K416" s="3">
        <v>97.38</v>
      </c>
      <c r="L416" s="3">
        <v>3.9</v>
      </c>
    </row>
    <row r="417" spans="1:12" ht="20.100000000000001" customHeight="1" x14ac:dyDescent="0.25">
      <c r="A417" s="2" t="s">
        <v>15</v>
      </c>
      <c r="B417" s="2" t="s">
        <v>3</v>
      </c>
      <c r="C417" s="2" t="s">
        <v>54</v>
      </c>
      <c r="D417" s="2" t="s">
        <v>55</v>
      </c>
      <c r="E417" s="2" t="s">
        <v>492</v>
      </c>
      <c r="F417" s="2" t="s">
        <v>110</v>
      </c>
      <c r="G417" s="2" t="s">
        <v>33</v>
      </c>
      <c r="H417" s="2" t="s">
        <v>10</v>
      </c>
      <c r="I417" s="2" t="s">
        <v>34</v>
      </c>
      <c r="J417" s="2" t="s">
        <v>74</v>
      </c>
      <c r="K417" s="3">
        <v>97.2</v>
      </c>
      <c r="L417" s="3">
        <v>3.89</v>
      </c>
    </row>
    <row r="418" spans="1:12" ht="20.100000000000001" customHeight="1" x14ac:dyDescent="0.25">
      <c r="A418" s="2" t="s">
        <v>15</v>
      </c>
      <c r="B418" s="2" t="s">
        <v>7</v>
      </c>
      <c r="C418" s="2" t="s">
        <v>96</v>
      </c>
      <c r="D418" s="2" t="s">
        <v>63</v>
      </c>
      <c r="E418" s="2" t="s">
        <v>493</v>
      </c>
      <c r="F418" s="2" t="s">
        <v>358</v>
      </c>
      <c r="G418" s="2" t="s">
        <v>33</v>
      </c>
      <c r="H418" s="2" t="s">
        <v>10</v>
      </c>
      <c r="I418" s="2" t="s">
        <v>34</v>
      </c>
      <c r="J418" s="2" t="s">
        <v>51</v>
      </c>
      <c r="K418" s="3">
        <v>95.88</v>
      </c>
      <c r="L418" s="3">
        <v>3.84</v>
      </c>
    </row>
    <row r="419" spans="1:12" ht="20.100000000000001" customHeight="1" x14ac:dyDescent="0.25">
      <c r="A419" s="2" t="s">
        <v>15</v>
      </c>
      <c r="B419" s="2" t="s">
        <v>3</v>
      </c>
      <c r="C419" s="2" t="s">
        <v>96</v>
      </c>
      <c r="D419" s="2" t="s">
        <v>63</v>
      </c>
      <c r="E419" s="2" t="s">
        <v>346</v>
      </c>
      <c r="F419" s="2" t="s">
        <v>163</v>
      </c>
      <c r="G419" s="2" t="s">
        <v>33</v>
      </c>
      <c r="H419" s="2" t="s">
        <v>10</v>
      </c>
      <c r="I419" s="2" t="s">
        <v>34</v>
      </c>
      <c r="J419" s="2" t="s">
        <v>58</v>
      </c>
      <c r="K419" s="3">
        <v>95.4</v>
      </c>
      <c r="L419" s="3">
        <v>3.82</v>
      </c>
    </row>
    <row r="420" spans="1:12" ht="20.100000000000001" customHeight="1" x14ac:dyDescent="0.25">
      <c r="A420" s="2" t="s">
        <v>15</v>
      </c>
      <c r="B420" s="2" t="s">
        <v>6</v>
      </c>
      <c r="C420" s="2" t="s">
        <v>167</v>
      </c>
      <c r="D420" s="2" t="s">
        <v>37</v>
      </c>
      <c r="E420" s="2" t="s">
        <v>494</v>
      </c>
      <c r="F420" s="2" t="s">
        <v>495</v>
      </c>
      <c r="G420" s="2" t="s">
        <v>78</v>
      </c>
      <c r="H420" s="2" t="s">
        <v>10</v>
      </c>
      <c r="I420" s="2" t="s">
        <v>34</v>
      </c>
      <c r="J420" s="2" t="s">
        <v>58</v>
      </c>
      <c r="K420" s="3">
        <v>94.95</v>
      </c>
      <c r="L420" s="3">
        <v>10.36</v>
      </c>
    </row>
    <row r="421" spans="1:12" ht="20.100000000000001" customHeight="1" x14ac:dyDescent="0.25">
      <c r="A421" s="2" t="s">
        <v>15</v>
      </c>
      <c r="B421" s="2" t="s">
        <v>6</v>
      </c>
      <c r="C421" s="2" t="s">
        <v>167</v>
      </c>
      <c r="D421" s="2" t="s">
        <v>37</v>
      </c>
      <c r="E421" s="2" t="s">
        <v>494</v>
      </c>
      <c r="F421" s="2" t="s">
        <v>495</v>
      </c>
      <c r="G421" s="2" t="s">
        <v>78</v>
      </c>
      <c r="H421" s="2" t="s">
        <v>10</v>
      </c>
      <c r="I421" s="2" t="s">
        <v>34</v>
      </c>
      <c r="J421" s="2" t="s">
        <v>58</v>
      </c>
      <c r="K421" s="3">
        <v>94.95</v>
      </c>
      <c r="L421" s="3">
        <v>10.36</v>
      </c>
    </row>
    <row r="422" spans="1:12" ht="20.100000000000001" customHeight="1" x14ac:dyDescent="0.25">
      <c r="A422" s="2" t="s">
        <v>15</v>
      </c>
      <c r="B422" s="2" t="s">
        <v>5</v>
      </c>
      <c r="C422" s="2" t="s">
        <v>339</v>
      </c>
      <c r="D422" s="2" t="s">
        <v>118</v>
      </c>
      <c r="E422" s="2" t="s">
        <v>496</v>
      </c>
      <c r="F422" s="2" t="s">
        <v>497</v>
      </c>
      <c r="G422" s="2" t="s">
        <v>33</v>
      </c>
      <c r="H422" s="2" t="s">
        <v>10</v>
      </c>
      <c r="I422" s="2" t="s">
        <v>34</v>
      </c>
      <c r="J422" s="2" t="s">
        <v>58</v>
      </c>
      <c r="K422" s="3">
        <v>93</v>
      </c>
      <c r="L422" s="3">
        <v>3.72</v>
      </c>
    </row>
    <row r="423" spans="1:12" ht="20.100000000000001" customHeight="1" x14ac:dyDescent="0.25">
      <c r="A423" s="2" t="s">
        <v>15</v>
      </c>
      <c r="B423" s="2" t="s">
        <v>6</v>
      </c>
      <c r="C423" s="2" t="s">
        <v>96</v>
      </c>
      <c r="D423" s="2" t="s">
        <v>63</v>
      </c>
      <c r="E423" s="2" t="s">
        <v>498</v>
      </c>
      <c r="F423" s="2" t="s">
        <v>348</v>
      </c>
      <c r="G423" s="2" t="s">
        <v>33</v>
      </c>
      <c r="H423" s="2" t="s">
        <v>10</v>
      </c>
      <c r="I423" s="2" t="s">
        <v>34</v>
      </c>
      <c r="J423" s="2" t="s">
        <v>84</v>
      </c>
      <c r="K423" s="3">
        <v>92.82</v>
      </c>
      <c r="L423" s="3">
        <v>3.71</v>
      </c>
    </row>
    <row r="424" spans="1:12" ht="20.100000000000001" customHeight="1" x14ac:dyDescent="0.25">
      <c r="A424" s="2" t="s">
        <v>15</v>
      </c>
      <c r="B424" s="2" t="s">
        <v>3</v>
      </c>
      <c r="C424" s="2" t="s">
        <v>222</v>
      </c>
      <c r="D424" s="2" t="s">
        <v>30</v>
      </c>
      <c r="E424" s="2" t="s">
        <v>499</v>
      </c>
      <c r="F424" s="2" t="s">
        <v>224</v>
      </c>
      <c r="G424" s="2" t="s">
        <v>45</v>
      </c>
      <c r="H424" s="2" t="s">
        <v>10</v>
      </c>
      <c r="I424" s="2" t="s">
        <v>34</v>
      </c>
      <c r="J424" s="2" t="s">
        <v>58</v>
      </c>
      <c r="K424" s="3">
        <v>89.88</v>
      </c>
      <c r="L424" s="3">
        <v>10.79</v>
      </c>
    </row>
    <row r="425" spans="1:12" ht="20.100000000000001" customHeight="1" x14ac:dyDescent="0.25">
      <c r="A425" s="2" t="s">
        <v>15</v>
      </c>
      <c r="B425" s="2" t="s">
        <v>3</v>
      </c>
      <c r="C425" s="2" t="s">
        <v>222</v>
      </c>
      <c r="D425" s="2" t="s">
        <v>30</v>
      </c>
      <c r="E425" s="2" t="s">
        <v>500</v>
      </c>
      <c r="F425" s="2" t="s">
        <v>224</v>
      </c>
      <c r="G425" s="2" t="s">
        <v>45</v>
      </c>
      <c r="H425" s="2" t="s">
        <v>10</v>
      </c>
      <c r="I425" s="2" t="s">
        <v>34</v>
      </c>
      <c r="J425" s="2" t="s">
        <v>58</v>
      </c>
      <c r="K425" s="3">
        <v>89.88</v>
      </c>
      <c r="L425" s="3">
        <v>10.79</v>
      </c>
    </row>
    <row r="426" spans="1:12" ht="20.100000000000001" customHeight="1" x14ac:dyDescent="0.25">
      <c r="A426" s="2" t="s">
        <v>15</v>
      </c>
      <c r="B426" s="2" t="s">
        <v>3</v>
      </c>
      <c r="C426" s="2" t="s">
        <v>222</v>
      </c>
      <c r="D426" s="2" t="s">
        <v>30</v>
      </c>
      <c r="E426" s="2" t="s">
        <v>501</v>
      </c>
      <c r="F426" s="2" t="s">
        <v>224</v>
      </c>
      <c r="G426" s="2" t="s">
        <v>45</v>
      </c>
      <c r="H426" s="2" t="s">
        <v>10</v>
      </c>
      <c r="I426" s="2" t="s">
        <v>34</v>
      </c>
      <c r="J426" s="2" t="s">
        <v>58</v>
      </c>
      <c r="K426" s="3">
        <v>89.88</v>
      </c>
      <c r="L426" s="3">
        <v>10.79</v>
      </c>
    </row>
    <row r="427" spans="1:12" ht="20.100000000000001" customHeight="1" x14ac:dyDescent="0.25">
      <c r="A427" s="2" t="s">
        <v>15</v>
      </c>
      <c r="B427" s="2" t="s">
        <v>3</v>
      </c>
      <c r="C427" s="2" t="s">
        <v>222</v>
      </c>
      <c r="D427" s="2" t="s">
        <v>30</v>
      </c>
      <c r="E427" s="2" t="s">
        <v>502</v>
      </c>
      <c r="F427" s="2" t="s">
        <v>224</v>
      </c>
      <c r="G427" s="2" t="s">
        <v>45</v>
      </c>
      <c r="H427" s="2" t="s">
        <v>10</v>
      </c>
      <c r="I427" s="2" t="s">
        <v>34</v>
      </c>
      <c r="J427" s="2" t="s">
        <v>58</v>
      </c>
      <c r="K427" s="3">
        <v>89.88</v>
      </c>
      <c r="L427" s="3">
        <v>10.79</v>
      </c>
    </row>
    <row r="428" spans="1:12" ht="20.100000000000001" customHeight="1" x14ac:dyDescent="0.25">
      <c r="A428" s="2" t="s">
        <v>15</v>
      </c>
      <c r="B428" s="2" t="s">
        <v>3</v>
      </c>
      <c r="C428" s="2" t="s">
        <v>100</v>
      </c>
      <c r="D428" s="2" t="s">
        <v>37</v>
      </c>
      <c r="E428" s="2" t="s">
        <v>503</v>
      </c>
      <c r="F428" s="2" t="s">
        <v>504</v>
      </c>
      <c r="G428" s="2" t="s">
        <v>83</v>
      </c>
      <c r="H428" s="2" t="s">
        <v>10</v>
      </c>
      <c r="I428" s="2" t="s">
        <v>34</v>
      </c>
      <c r="J428" s="2" t="s">
        <v>58</v>
      </c>
      <c r="K428" s="3">
        <v>89.7</v>
      </c>
      <c r="L428" s="3">
        <v>9.7899999999999991</v>
      </c>
    </row>
    <row r="429" spans="1:12" ht="20.100000000000001" customHeight="1" x14ac:dyDescent="0.25">
      <c r="A429" s="2" t="s">
        <v>15</v>
      </c>
      <c r="B429" s="2" t="s">
        <v>5</v>
      </c>
      <c r="C429" s="2" t="s">
        <v>100</v>
      </c>
      <c r="D429" s="2" t="s">
        <v>37</v>
      </c>
      <c r="E429" s="2" t="s">
        <v>505</v>
      </c>
      <c r="F429" s="2" t="s">
        <v>504</v>
      </c>
      <c r="G429" s="2" t="s">
        <v>83</v>
      </c>
      <c r="H429" s="2" t="s">
        <v>10</v>
      </c>
      <c r="I429" s="2" t="s">
        <v>34</v>
      </c>
      <c r="J429" s="2" t="s">
        <v>58</v>
      </c>
      <c r="K429" s="3">
        <v>89.7</v>
      </c>
      <c r="L429" s="3">
        <v>9.7899999999999991</v>
      </c>
    </row>
    <row r="430" spans="1:12" ht="20.100000000000001" customHeight="1" x14ac:dyDescent="0.25">
      <c r="A430" s="2" t="s">
        <v>15</v>
      </c>
      <c r="B430" s="2" t="s">
        <v>7</v>
      </c>
      <c r="C430" s="2" t="s">
        <v>96</v>
      </c>
      <c r="D430" s="2" t="s">
        <v>63</v>
      </c>
      <c r="E430" s="2" t="s">
        <v>506</v>
      </c>
      <c r="F430" s="2" t="s">
        <v>358</v>
      </c>
      <c r="G430" s="2" t="s">
        <v>33</v>
      </c>
      <c r="H430" s="2" t="s">
        <v>10</v>
      </c>
      <c r="I430" s="2" t="s">
        <v>34</v>
      </c>
      <c r="J430" s="2" t="s">
        <v>51</v>
      </c>
      <c r="K430" s="3">
        <v>89.6</v>
      </c>
      <c r="L430" s="3">
        <v>3.58</v>
      </c>
    </row>
    <row r="431" spans="1:12" ht="20.100000000000001" customHeight="1" x14ac:dyDescent="0.25">
      <c r="A431" s="2" t="s">
        <v>15</v>
      </c>
      <c r="B431" s="2" t="s">
        <v>7</v>
      </c>
      <c r="C431" s="2" t="s">
        <v>62</v>
      </c>
      <c r="D431" s="2" t="s">
        <v>63</v>
      </c>
      <c r="E431" s="2" t="s">
        <v>489</v>
      </c>
      <c r="F431" s="2" t="s">
        <v>65</v>
      </c>
      <c r="G431" s="2" t="s">
        <v>45</v>
      </c>
      <c r="H431" s="2" t="s">
        <v>10</v>
      </c>
      <c r="I431" s="2" t="s">
        <v>34</v>
      </c>
      <c r="J431" s="2" t="s">
        <v>41</v>
      </c>
      <c r="K431" s="3">
        <v>88</v>
      </c>
      <c r="L431" s="3">
        <v>10.56</v>
      </c>
    </row>
    <row r="432" spans="1:12" ht="20.100000000000001" customHeight="1" x14ac:dyDescent="0.25">
      <c r="A432" s="2" t="s">
        <v>15</v>
      </c>
      <c r="B432" s="2" t="s">
        <v>6</v>
      </c>
      <c r="C432" s="2" t="s">
        <v>62</v>
      </c>
      <c r="D432" s="2" t="s">
        <v>63</v>
      </c>
      <c r="E432" s="2" t="s">
        <v>489</v>
      </c>
      <c r="F432" s="2" t="s">
        <v>65</v>
      </c>
      <c r="G432" s="2" t="s">
        <v>45</v>
      </c>
      <c r="H432" s="2" t="s">
        <v>10</v>
      </c>
      <c r="I432" s="2" t="s">
        <v>34</v>
      </c>
      <c r="J432" s="2" t="s">
        <v>41</v>
      </c>
      <c r="K432" s="3">
        <v>88</v>
      </c>
      <c r="L432" s="3">
        <v>10.56</v>
      </c>
    </row>
    <row r="433" spans="1:12" ht="20.100000000000001" customHeight="1" x14ac:dyDescent="0.25">
      <c r="A433" s="2" t="s">
        <v>15</v>
      </c>
      <c r="B433" s="2" t="s">
        <v>4</v>
      </c>
      <c r="C433" s="2" t="s">
        <v>62</v>
      </c>
      <c r="D433" s="2" t="s">
        <v>63</v>
      </c>
      <c r="E433" s="2" t="s">
        <v>489</v>
      </c>
      <c r="F433" s="2" t="s">
        <v>65</v>
      </c>
      <c r="G433" s="2" t="s">
        <v>45</v>
      </c>
      <c r="H433" s="2" t="s">
        <v>10</v>
      </c>
      <c r="I433" s="2" t="s">
        <v>34</v>
      </c>
      <c r="J433" s="2" t="s">
        <v>41</v>
      </c>
      <c r="K433" s="3">
        <v>88</v>
      </c>
      <c r="L433" s="3">
        <v>10.56</v>
      </c>
    </row>
    <row r="434" spans="1:12" ht="20.100000000000001" customHeight="1" x14ac:dyDescent="0.25">
      <c r="A434" s="2" t="s">
        <v>15</v>
      </c>
      <c r="B434" s="2" t="s">
        <v>3</v>
      </c>
      <c r="C434" s="2" t="s">
        <v>80</v>
      </c>
      <c r="D434" s="2" t="s">
        <v>37</v>
      </c>
      <c r="E434" s="2" t="s">
        <v>507</v>
      </c>
      <c r="F434" s="2" t="s">
        <v>82</v>
      </c>
      <c r="G434" s="2" t="s">
        <v>83</v>
      </c>
      <c r="H434" s="2" t="s">
        <v>10</v>
      </c>
      <c r="I434" s="2" t="s">
        <v>34</v>
      </c>
      <c r="J434" s="2" t="s">
        <v>84</v>
      </c>
      <c r="K434" s="3">
        <v>87.75</v>
      </c>
      <c r="L434" s="3">
        <v>9.57</v>
      </c>
    </row>
    <row r="435" spans="1:12" ht="20.100000000000001" customHeight="1" x14ac:dyDescent="0.25">
      <c r="A435" s="2" t="s">
        <v>15</v>
      </c>
      <c r="B435" s="2" t="s">
        <v>6</v>
      </c>
      <c r="C435" s="2" t="s">
        <v>62</v>
      </c>
      <c r="D435" s="2" t="s">
        <v>63</v>
      </c>
      <c r="E435" s="2" t="s">
        <v>508</v>
      </c>
      <c r="F435" s="2" t="s">
        <v>65</v>
      </c>
      <c r="G435" s="2" t="s">
        <v>45</v>
      </c>
      <c r="H435" s="2" t="s">
        <v>10</v>
      </c>
      <c r="I435" s="2" t="s">
        <v>34</v>
      </c>
      <c r="J435" s="2" t="s">
        <v>41</v>
      </c>
      <c r="K435" s="3">
        <v>86</v>
      </c>
      <c r="L435" s="3">
        <v>10.32</v>
      </c>
    </row>
    <row r="436" spans="1:12" ht="20.100000000000001" customHeight="1" x14ac:dyDescent="0.25">
      <c r="A436" s="2" t="s">
        <v>15</v>
      </c>
      <c r="B436" s="2" t="s">
        <v>7</v>
      </c>
      <c r="C436" s="2" t="s">
        <v>62</v>
      </c>
      <c r="D436" s="2" t="s">
        <v>63</v>
      </c>
      <c r="E436" s="2" t="s">
        <v>509</v>
      </c>
      <c r="F436" s="2" t="s">
        <v>65</v>
      </c>
      <c r="G436" s="2" t="s">
        <v>45</v>
      </c>
      <c r="H436" s="2" t="s">
        <v>10</v>
      </c>
      <c r="I436" s="2" t="s">
        <v>34</v>
      </c>
      <c r="J436" s="2" t="s">
        <v>41</v>
      </c>
      <c r="K436" s="3">
        <v>86</v>
      </c>
      <c r="L436" s="3">
        <v>10.32</v>
      </c>
    </row>
    <row r="437" spans="1:12" ht="20.100000000000001" customHeight="1" x14ac:dyDescent="0.25">
      <c r="A437" s="2" t="s">
        <v>15</v>
      </c>
      <c r="B437" s="2" t="s">
        <v>6</v>
      </c>
      <c r="C437" s="2" t="s">
        <v>62</v>
      </c>
      <c r="D437" s="2" t="s">
        <v>63</v>
      </c>
      <c r="E437" s="2" t="s">
        <v>509</v>
      </c>
      <c r="F437" s="2" t="s">
        <v>65</v>
      </c>
      <c r="G437" s="2" t="s">
        <v>45</v>
      </c>
      <c r="H437" s="2" t="s">
        <v>10</v>
      </c>
      <c r="I437" s="2" t="s">
        <v>34</v>
      </c>
      <c r="J437" s="2" t="s">
        <v>41</v>
      </c>
      <c r="K437" s="3">
        <v>86</v>
      </c>
      <c r="L437" s="3">
        <v>10.32</v>
      </c>
    </row>
    <row r="438" spans="1:12" ht="20.100000000000001" customHeight="1" x14ac:dyDescent="0.25">
      <c r="A438" s="2" t="s">
        <v>15</v>
      </c>
      <c r="B438" s="2" t="s">
        <v>3</v>
      </c>
      <c r="C438" s="2" t="s">
        <v>62</v>
      </c>
      <c r="D438" s="2" t="s">
        <v>63</v>
      </c>
      <c r="E438" s="2" t="s">
        <v>509</v>
      </c>
      <c r="F438" s="2" t="s">
        <v>65</v>
      </c>
      <c r="G438" s="2" t="s">
        <v>45</v>
      </c>
      <c r="H438" s="2" t="s">
        <v>10</v>
      </c>
      <c r="I438" s="2" t="s">
        <v>34</v>
      </c>
      <c r="J438" s="2" t="s">
        <v>41</v>
      </c>
      <c r="K438" s="3">
        <v>86</v>
      </c>
      <c r="L438" s="3">
        <v>10.32</v>
      </c>
    </row>
    <row r="439" spans="1:12" ht="20.100000000000001" customHeight="1" x14ac:dyDescent="0.25">
      <c r="A439" s="2" t="s">
        <v>15</v>
      </c>
      <c r="B439" s="2" t="s">
        <v>5</v>
      </c>
      <c r="C439" s="2" t="s">
        <v>339</v>
      </c>
      <c r="D439" s="2" t="s">
        <v>118</v>
      </c>
      <c r="E439" s="2" t="s">
        <v>510</v>
      </c>
      <c r="F439" s="2" t="s">
        <v>258</v>
      </c>
      <c r="G439" s="2" t="s">
        <v>33</v>
      </c>
      <c r="H439" s="2" t="s">
        <v>10</v>
      </c>
      <c r="I439" s="2" t="s">
        <v>34</v>
      </c>
      <c r="J439" s="2" t="s">
        <v>58</v>
      </c>
      <c r="K439" s="3">
        <v>85.74</v>
      </c>
      <c r="L439" s="3">
        <v>3.43</v>
      </c>
    </row>
    <row r="440" spans="1:12" ht="20.100000000000001" customHeight="1" x14ac:dyDescent="0.25">
      <c r="A440" s="2" t="s">
        <v>15</v>
      </c>
      <c r="B440" s="2" t="s">
        <v>5</v>
      </c>
      <c r="C440" s="2" t="s">
        <v>100</v>
      </c>
      <c r="D440" s="2" t="s">
        <v>37</v>
      </c>
      <c r="E440" s="2" t="s">
        <v>511</v>
      </c>
      <c r="F440" s="2" t="s">
        <v>384</v>
      </c>
      <c r="G440" s="2" t="s">
        <v>83</v>
      </c>
      <c r="H440" s="2" t="s">
        <v>10</v>
      </c>
      <c r="I440" s="2" t="s">
        <v>34</v>
      </c>
      <c r="J440" s="2" t="s">
        <v>237</v>
      </c>
      <c r="K440" s="3">
        <v>84.48</v>
      </c>
      <c r="L440" s="3">
        <v>9.2200000000000006</v>
      </c>
    </row>
    <row r="441" spans="1:12" ht="20.100000000000001" customHeight="1" x14ac:dyDescent="0.25">
      <c r="A441" s="2" t="s">
        <v>15</v>
      </c>
      <c r="B441" s="2" t="s">
        <v>5</v>
      </c>
      <c r="C441" s="2" t="s">
        <v>339</v>
      </c>
      <c r="D441" s="2" t="s">
        <v>118</v>
      </c>
      <c r="E441" s="2" t="s">
        <v>512</v>
      </c>
      <c r="F441" s="2" t="s">
        <v>462</v>
      </c>
      <c r="G441" s="2" t="s">
        <v>33</v>
      </c>
      <c r="H441" s="2" t="s">
        <v>10</v>
      </c>
      <c r="I441" s="2" t="s">
        <v>34</v>
      </c>
      <c r="J441" s="2" t="s">
        <v>237</v>
      </c>
      <c r="K441" s="3">
        <v>84.15</v>
      </c>
      <c r="L441" s="3">
        <v>3.37</v>
      </c>
    </row>
    <row r="442" spans="1:12" ht="20.100000000000001" customHeight="1" x14ac:dyDescent="0.25">
      <c r="A442" s="2" t="s">
        <v>15</v>
      </c>
      <c r="B442" s="2" t="s">
        <v>6</v>
      </c>
      <c r="C442" s="2" t="s">
        <v>66</v>
      </c>
      <c r="D442" s="2" t="s">
        <v>63</v>
      </c>
      <c r="E442" s="2" t="s">
        <v>513</v>
      </c>
      <c r="F442" s="2" t="s">
        <v>65</v>
      </c>
      <c r="G442" s="2" t="s">
        <v>45</v>
      </c>
      <c r="H442" s="2" t="s">
        <v>10</v>
      </c>
      <c r="I442" s="2" t="s">
        <v>34</v>
      </c>
      <c r="J442" s="2" t="s">
        <v>41</v>
      </c>
      <c r="K442" s="3">
        <v>84</v>
      </c>
      <c r="L442" s="3">
        <v>10.08</v>
      </c>
    </row>
    <row r="443" spans="1:12" ht="20.100000000000001" customHeight="1" x14ac:dyDescent="0.25">
      <c r="A443" s="2" t="s">
        <v>15</v>
      </c>
      <c r="B443" s="2" t="s">
        <v>6</v>
      </c>
      <c r="C443" s="2" t="s">
        <v>96</v>
      </c>
      <c r="D443" s="2" t="s">
        <v>63</v>
      </c>
      <c r="E443" s="2" t="s">
        <v>302</v>
      </c>
      <c r="F443" s="2" t="s">
        <v>163</v>
      </c>
      <c r="G443" s="2" t="s">
        <v>33</v>
      </c>
      <c r="H443" s="2" t="s">
        <v>10</v>
      </c>
      <c r="I443" s="2" t="s">
        <v>34</v>
      </c>
      <c r="J443" s="2" t="s">
        <v>58</v>
      </c>
      <c r="K443" s="3">
        <v>83.25</v>
      </c>
      <c r="L443" s="3">
        <v>3.33</v>
      </c>
    </row>
    <row r="444" spans="1:12" ht="20.100000000000001" customHeight="1" x14ac:dyDescent="0.25">
      <c r="A444" s="2" t="s">
        <v>15</v>
      </c>
      <c r="B444" s="2" t="s">
        <v>6</v>
      </c>
      <c r="C444" s="2" t="s">
        <v>167</v>
      </c>
      <c r="D444" s="2" t="s">
        <v>37</v>
      </c>
      <c r="E444" s="2" t="s">
        <v>514</v>
      </c>
      <c r="F444" s="2" t="s">
        <v>515</v>
      </c>
      <c r="G444" s="2" t="s">
        <v>78</v>
      </c>
      <c r="H444" s="2" t="s">
        <v>10</v>
      </c>
      <c r="I444" s="2" t="s">
        <v>34</v>
      </c>
      <c r="J444" s="2" t="s">
        <v>58</v>
      </c>
      <c r="K444" s="3">
        <v>83.04</v>
      </c>
      <c r="L444" s="3">
        <v>9.06</v>
      </c>
    </row>
    <row r="445" spans="1:12" ht="20.100000000000001" customHeight="1" x14ac:dyDescent="0.25">
      <c r="A445" s="2" t="s">
        <v>15</v>
      </c>
      <c r="B445" s="2" t="s">
        <v>5</v>
      </c>
      <c r="C445" s="2" t="s">
        <v>100</v>
      </c>
      <c r="D445" s="2" t="s">
        <v>37</v>
      </c>
      <c r="E445" s="2" t="s">
        <v>516</v>
      </c>
      <c r="F445" s="2" t="s">
        <v>449</v>
      </c>
      <c r="G445" s="2" t="s">
        <v>83</v>
      </c>
      <c r="H445" s="2" t="s">
        <v>10</v>
      </c>
      <c r="I445" s="2" t="s">
        <v>34</v>
      </c>
      <c r="J445" s="2" t="s">
        <v>58</v>
      </c>
      <c r="K445" s="3">
        <v>82.15</v>
      </c>
      <c r="L445" s="3">
        <v>8.9600000000000009</v>
      </c>
    </row>
    <row r="446" spans="1:12" ht="20.100000000000001" customHeight="1" x14ac:dyDescent="0.25">
      <c r="A446" s="2" t="s">
        <v>15</v>
      </c>
      <c r="B446" s="2" t="s">
        <v>6</v>
      </c>
      <c r="C446" s="2" t="s">
        <v>66</v>
      </c>
      <c r="D446" s="2" t="s">
        <v>63</v>
      </c>
      <c r="E446" s="2" t="s">
        <v>517</v>
      </c>
      <c r="F446" s="2" t="s">
        <v>65</v>
      </c>
      <c r="G446" s="2" t="s">
        <v>45</v>
      </c>
      <c r="H446" s="2" t="s">
        <v>10</v>
      </c>
      <c r="I446" s="2" t="s">
        <v>34</v>
      </c>
      <c r="J446" s="2" t="s">
        <v>41</v>
      </c>
      <c r="K446" s="3">
        <v>81.900000000000006</v>
      </c>
      <c r="L446" s="3">
        <v>9.83</v>
      </c>
    </row>
    <row r="447" spans="1:12" ht="20.100000000000001" customHeight="1" x14ac:dyDescent="0.25">
      <c r="A447" s="2" t="s">
        <v>15</v>
      </c>
      <c r="B447" s="2" t="s">
        <v>2</v>
      </c>
      <c r="C447" s="2" t="s">
        <v>66</v>
      </c>
      <c r="D447" s="2" t="s">
        <v>63</v>
      </c>
      <c r="E447" s="2" t="s">
        <v>517</v>
      </c>
      <c r="F447" s="2" t="s">
        <v>65</v>
      </c>
      <c r="G447" s="2" t="s">
        <v>45</v>
      </c>
      <c r="H447" s="2" t="s">
        <v>10</v>
      </c>
      <c r="I447" s="2" t="s">
        <v>34</v>
      </c>
      <c r="J447" s="2" t="s">
        <v>41</v>
      </c>
      <c r="K447" s="3">
        <v>81.900000000000006</v>
      </c>
      <c r="L447" s="3">
        <v>9.83</v>
      </c>
    </row>
    <row r="448" spans="1:12" ht="20.100000000000001" customHeight="1" x14ac:dyDescent="0.25">
      <c r="A448" s="2" t="s">
        <v>9</v>
      </c>
      <c r="B448" s="2" t="s">
        <v>7</v>
      </c>
      <c r="C448" s="2" t="s">
        <v>93</v>
      </c>
      <c r="D448" s="2" t="s">
        <v>63</v>
      </c>
      <c r="E448" s="2" t="s">
        <v>518</v>
      </c>
      <c r="F448" s="2" t="s">
        <v>65</v>
      </c>
      <c r="G448" s="2" t="s">
        <v>45</v>
      </c>
      <c r="H448" s="2" t="s">
        <v>10</v>
      </c>
      <c r="I448" s="2" t="s">
        <v>34</v>
      </c>
      <c r="J448" s="2" t="s">
        <v>41</v>
      </c>
      <c r="K448" s="3">
        <v>81</v>
      </c>
      <c r="L448" s="3">
        <v>0</v>
      </c>
    </row>
    <row r="449" spans="1:12" ht="20.100000000000001" customHeight="1" x14ac:dyDescent="0.25">
      <c r="A449" s="2" t="s">
        <v>15</v>
      </c>
      <c r="B449" s="2" t="s">
        <v>7</v>
      </c>
      <c r="C449" s="2" t="s">
        <v>93</v>
      </c>
      <c r="D449" s="2" t="s">
        <v>63</v>
      </c>
      <c r="E449" s="2" t="s">
        <v>518</v>
      </c>
      <c r="F449" s="2" t="s">
        <v>65</v>
      </c>
      <c r="G449" s="2" t="s">
        <v>45</v>
      </c>
      <c r="H449" s="2" t="s">
        <v>10</v>
      </c>
      <c r="I449" s="2" t="s">
        <v>34</v>
      </c>
      <c r="J449" s="2" t="s">
        <v>41</v>
      </c>
      <c r="K449" s="3">
        <v>81</v>
      </c>
      <c r="L449" s="3">
        <v>0</v>
      </c>
    </row>
    <row r="450" spans="1:12" ht="20.100000000000001" customHeight="1" x14ac:dyDescent="0.25">
      <c r="A450" s="2" t="s">
        <v>15</v>
      </c>
      <c r="B450" s="2" t="s">
        <v>5</v>
      </c>
      <c r="C450" s="2" t="s">
        <v>339</v>
      </c>
      <c r="D450" s="2" t="s">
        <v>118</v>
      </c>
      <c r="E450" s="2" t="s">
        <v>519</v>
      </c>
      <c r="F450" s="2" t="s">
        <v>520</v>
      </c>
      <c r="G450" s="2" t="s">
        <v>33</v>
      </c>
      <c r="H450" s="2" t="s">
        <v>10</v>
      </c>
      <c r="I450" s="2" t="s">
        <v>34</v>
      </c>
      <c r="J450" s="2" t="s">
        <v>58</v>
      </c>
      <c r="K450" s="3">
        <v>80.78</v>
      </c>
      <c r="L450" s="3">
        <v>3.23</v>
      </c>
    </row>
    <row r="451" spans="1:12" ht="20.100000000000001" customHeight="1" x14ac:dyDescent="0.25">
      <c r="A451" s="2" t="s">
        <v>15</v>
      </c>
      <c r="B451" s="2" t="s">
        <v>7</v>
      </c>
      <c r="C451" s="2" t="s">
        <v>80</v>
      </c>
      <c r="D451" s="2" t="s">
        <v>37</v>
      </c>
      <c r="E451" s="2" t="s">
        <v>521</v>
      </c>
      <c r="F451" s="2" t="s">
        <v>82</v>
      </c>
      <c r="G451" s="2" t="s">
        <v>83</v>
      </c>
      <c r="H451" s="2" t="s">
        <v>10</v>
      </c>
      <c r="I451" s="2" t="s">
        <v>34</v>
      </c>
      <c r="J451" s="2" t="s">
        <v>84</v>
      </c>
      <c r="K451" s="3">
        <v>79.38</v>
      </c>
      <c r="L451" s="3">
        <v>8.67</v>
      </c>
    </row>
    <row r="452" spans="1:12" ht="20.100000000000001" customHeight="1" x14ac:dyDescent="0.25">
      <c r="A452" s="2" t="s">
        <v>15</v>
      </c>
      <c r="B452" s="2" t="s">
        <v>3</v>
      </c>
      <c r="C452" s="2" t="s">
        <v>80</v>
      </c>
      <c r="D452" s="2" t="s">
        <v>37</v>
      </c>
      <c r="E452" s="2" t="s">
        <v>521</v>
      </c>
      <c r="F452" s="2" t="s">
        <v>82</v>
      </c>
      <c r="G452" s="2" t="s">
        <v>83</v>
      </c>
      <c r="H452" s="2" t="s">
        <v>10</v>
      </c>
      <c r="I452" s="2" t="s">
        <v>34</v>
      </c>
      <c r="J452" s="2" t="s">
        <v>84</v>
      </c>
      <c r="K452" s="3">
        <v>79.38</v>
      </c>
      <c r="L452" s="3">
        <v>8.66</v>
      </c>
    </row>
    <row r="453" spans="1:12" ht="20.100000000000001" customHeight="1" x14ac:dyDescent="0.25">
      <c r="A453" s="2" t="s">
        <v>15</v>
      </c>
      <c r="B453" s="2" t="s">
        <v>2</v>
      </c>
      <c r="C453" s="2" t="s">
        <v>100</v>
      </c>
      <c r="D453" s="2" t="s">
        <v>37</v>
      </c>
      <c r="E453" s="2" t="s">
        <v>522</v>
      </c>
      <c r="F453" s="2" t="s">
        <v>404</v>
      </c>
      <c r="G453" s="2" t="s">
        <v>78</v>
      </c>
      <c r="H453" s="2" t="s">
        <v>10</v>
      </c>
      <c r="I453" s="2" t="s">
        <v>34</v>
      </c>
      <c r="J453" s="2" t="s">
        <v>58</v>
      </c>
      <c r="K453" s="3">
        <v>78.400000000000006</v>
      </c>
      <c r="L453" s="3">
        <v>8.5500000000000007</v>
      </c>
    </row>
    <row r="454" spans="1:12" ht="20.100000000000001" customHeight="1" x14ac:dyDescent="0.25">
      <c r="A454" s="2" t="s">
        <v>15</v>
      </c>
      <c r="B454" s="2" t="s">
        <v>7</v>
      </c>
      <c r="C454" s="2" t="s">
        <v>184</v>
      </c>
      <c r="D454" s="2" t="s">
        <v>55</v>
      </c>
      <c r="E454" s="2" t="s">
        <v>523</v>
      </c>
      <c r="F454" s="2" t="s">
        <v>186</v>
      </c>
      <c r="G454" s="2" t="s">
        <v>45</v>
      </c>
      <c r="H454" s="2" t="s">
        <v>10</v>
      </c>
      <c r="I454" s="2" t="s">
        <v>34</v>
      </c>
      <c r="J454" s="2" t="s">
        <v>74</v>
      </c>
      <c r="K454" s="3">
        <v>78.27</v>
      </c>
      <c r="L454" s="3">
        <v>9.56</v>
      </c>
    </row>
    <row r="455" spans="1:12" ht="20.100000000000001" customHeight="1" x14ac:dyDescent="0.25">
      <c r="A455" s="2" t="s">
        <v>15</v>
      </c>
      <c r="B455" s="2" t="s">
        <v>7</v>
      </c>
      <c r="C455" s="2" t="s">
        <v>184</v>
      </c>
      <c r="D455" s="2" t="s">
        <v>55</v>
      </c>
      <c r="E455" s="2" t="s">
        <v>524</v>
      </c>
      <c r="F455" s="2" t="s">
        <v>186</v>
      </c>
      <c r="G455" s="2" t="s">
        <v>45</v>
      </c>
      <c r="H455" s="2" t="s">
        <v>10</v>
      </c>
      <c r="I455" s="2" t="s">
        <v>34</v>
      </c>
      <c r="J455" s="2" t="s">
        <v>74</v>
      </c>
      <c r="K455" s="3">
        <v>78.27</v>
      </c>
      <c r="L455" s="3">
        <v>9.5500000000000007</v>
      </c>
    </row>
    <row r="456" spans="1:12" ht="20.100000000000001" customHeight="1" x14ac:dyDescent="0.25">
      <c r="A456" s="2" t="s">
        <v>15</v>
      </c>
      <c r="B456" s="2" t="s">
        <v>5</v>
      </c>
      <c r="C456" s="2" t="s">
        <v>80</v>
      </c>
      <c r="D456" s="2" t="s">
        <v>37</v>
      </c>
      <c r="E456" s="2" t="s">
        <v>456</v>
      </c>
      <c r="F456" s="2" t="s">
        <v>82</v>
      </c>
      <c r="G456" s="2" t="s">
        <v>83</v>
      </c>
      <c r="H456" s="2" t="s">
        <v>10</v>
      </c>
      <c r="I456" s="2" t="s">
        <v>34</v>
      </c>
      <c r="J456" s="2" t="s">
        <v>84</v>
      </c>
      <c r="K456" s="3">
        <v>77.94</v>
      </c>
      <c r="L456" s="3">
        <v>8.51</v>
      </c>
    </row>
    <row r="457" spans="1:12" ht="20.100000000000001" customHeight="1" x14ac:dyDescent="0.25">
      <c r="A457" s="2" t="s">
        <v>15</v>
      </c>
      <c r="B457" s="2" t="s">
        <v>3</v>
      </c>
      <c r="C457" s="2" t="s">
        <v>80</v>
      </c>
      <c r="D457" s="2" t="s">
        <v>37</v>
      </c>
      <c r="E457" s="2" t="s">
        <v>525</v>
      </c>
      <c r="F457" s="2" t="s">
        <v>348</v>
      </c>
      <c r="G457" s="2" t="s">
        <v>78</v>
      </c>
      <c r="H457" s="2" t="s">
        <v>10</v>
      </c>
      <c r="I457" s="2" t="s">
        <v>34</v>
      </c>
      <c r="J457" s="2" t="s">
        <v>84</v>
      </c>
      <c r="K457" s="3">
        <v>77.040000000000006</v>
      </c>
      <c r="L457" s="3">
        <v>8.41</v>
      </c>
    </row>
    <row r="458" spans="1:12" ht="20.100000000000001" customHeight="1" x14ac:dyDescent="0.25">
      <c r="A458" s="2" t="s">
        <v>15</v>
      </c>
      <c r="B458" s="2" t="s">
        <v>5</v>
      </c>
      <c r="C458" s="2" t="s">
        <v>339</v>
      </c>
      <c r="D458" s="2" t="s">
        <v>118</v>
      </c>
      <c r="E458" s="2" t="s">
        <v>526</v>
      </c>
      <c r="F458" s="2" t="s">
        <v>527</v>
      </c>
      <c r="G458" s="2" t="s">
        <v>33</v>
      </c>
      <c r="H458" s="2" t="s">
        <v>10</v>
      </c>
      <c r="I458" s="2" t="s">
        <v>34</v>
      </c>
      <c r="J458" s="2" t="s">
        <v>58</v>
      </c>
      <c r="K458" s="3">
        <v>76.88</v>
      </c>
      <c r="L458" s="3">
        <v>3.08</v>
      </c>
    </row>
    <row r="459" spans="1:12" ht="20.100000000000001" customHeight="1" x14ac:dyDescent="0.25">
      <c r="A459" s="2" t="s">
        <v>15</v>
      </c>
      <c r="B459" s="2" t="s">
        <v>5</v>
      </c>
      <c r="C459" s="2" t="s">
        <v>339</v>
      </c>
      <c r="D459" s="2" t="s">
        <v>118</v>
      </c>
      <c r="E459" s="2" t="s">
        <v>528</v>
      </c>
      <c r="F459" s="2" t="s">
        <v>529</v>
      </c>
      <c r="G459" s="2" t="s">
        <v>33</v>
      </c>
      <c r="H459" s="2" t="s">
        <v>10</v>
      </c>
      <c r="I459" s="2" t="s">
        <v>34</v>
      </c>
      <c r="J459" s="2" t="s">
        <v>58</v>
      </c>
      <c r="K459" s="3">
        <v>76.05</v>
      </c>
      <c r="L459" s="3">
        <v>3.04</v>
      </c>
    </row>
    <row r="460" spans="1:12" ht="20.100000000000001" customHeight="1" x14ac:dyDescent="0.25">
      <c r="A460" s="2" t="s">
        <v>15</v>
      </c>
      <c r="B460" s="2" t="s">
        <v>7</v>
      </c>
      <c r="C460" s="2" t="s">
        <v>80</v>
      </c>
      <c r="D460" s="2" t="s">
        <v>37</v>
      </c>
      <c r="E460" s="2" t="s">
        <v>530</v>
      </c>
      <c r="F460" s="2" t="s">
        <v>82</v>
      </c>
      <c r="G460" s="2" t="s">
        <v>83</v>
      </c>
      <c r="H460" s="2" t="s">
        <v>10</v>
      </c>
      <c r="I460" s="2" t="s">
        <v>34</v>
      </c>
      <c r="J460" s="2" t="s">
        <v>84</v>
      </c>
      <c r="K460" s="3">
        <v>75.959999999999994</v>
      </c>
      <c r="L460" s="3">
        <v>8.2899999999999991</v>
      </c>
    </row>
    <row r="461" spans="1:12" ht="20.100000000000001" customHeight="1" x14ac:dyDescent="0.25">
      <c r="A461" s="2" t="s">
        <v>15</v>
      </c>
      <c r="B461" s="2" t="s">
        <v>7</v>
      </c>
      <c r="C461" s="2" t="s">
        <v>80</v>
      </c>
      <c r="D461" s="2" t="s">
        <v>37</v>
      </c>
      <c r="E461" s="2" t="s">
        <v>334</v>
      </c>
      <c r="F461" s="2" t="s">
        <v>82</v>
      </c>
      <c r="G461" s="2" t="s">
        <v>83</v>
      </c>
      <c r="H461" s="2" t="s">
        <v>10</v>
      </c>
      <c r="I461" s="2" t="s">
        <v>34</v>
      </c>
      <c r="J461" s="2" t="s">
        <v>84</v>
      </c>
      <c r="K461" s="3">
        <v>75.150000000000006</v>
      </c>
      <c r="L461" s="3">
        <v>8.1999999999999993</v>
      </c>
    </row>
    <row r="462" spans="1:12" ht="20.100000000000001" customHeight="1" x14ac:dyDescent="0.25">
      <c r="A462" s="2" t="s">
        <v>15</v>
      </c>
      <c r="B462" s="2" t="s">
        <v>3</v>
      </c>
      <c r="C462" s="2" t="s">
        <v>80</v>
      </c>
      <c r="D462" s="2" t="s">
        <v>37</v>
      </c>
      <c r="E462" s="2" t="s">
        <v>334</v>
      </c>
      <c r="F462" s="2" t="s">
        <v>82</v>
      </c>
      <c r="G462" s="2" t="s">
        <v>83</v>
      </c>
      <c r="H462" s="2" t="s">
        <v>10</v>
      </c>
      <c r="I462" s="2" t="s">
        <v>34</v>
      </c>
      <c r="J462" s="2" t="s">
        <v>84</v>
      </c>
      <c r="K462" s="3">
        <v>75.150000000000006</v>
      </c>
      <c r="L462" s="3">
        <v>8.1999999999999993</v>
      </c>
    </row>
    <row r="463" spans="1:12" ht="20.100000000000001" customHeight="1" x14ac:dyDescent="0.25">
      <c r="A463" s="2" t="s">
        <v>15</v>
      </c>
      <c r="B463" s="2" t="s">
        <v>5</v>
      </c>
      <c r="C463" s="2" t="s">
        <v>339</v>
      </c>
      <c r="D463" s="2" t="s">
        <v>118</v>
      </c>
      <c r="E463" s="2" t="s">
        <v>531</v>
      </c>
      <c r="F463" s="2" t="s">
        <v>532</v>
      </c>
      <c r="G463" s="2" t="s">
        <v>33</v>
      </c>
      <c r="H463" s="2" t="s">
        <v>10</v>
      </c>
      <c r="I463" s="2" t="s">
        <v>34</v>
      </c>
      <c r="J463" s="2" t="s">
        <v>58</v>
      </c>
      <c r="K463" s="3">
        <v>74.930000000000007</v>
      </c>
      <c r="L463" s="3">
        <v>3</v>
      </c>
    </row>
    <row r="464" spans="1:12" ht="20.100000000000001" customHeight="1" x14ac:dyDescent="0.25">
      <c r="A464" s="2" t="s">
        <v>15</v>
      </c>
      <c r="B464" s="2" t="s">
        <v>3</v>
      </c>
      <c r="C464" s="2" t="s">
        <v>80</v>
      </c>
      <c r="D464" s="2" t="s">
        <v>37</v>
      </c>
      <c r="E464" s="2" t="s">
        <v>533</v>
      </c>
      <c r="F464" s="2" t="s">
        <v>348</v>
      </c>
      <c r="G464" s="2" t="s">
        <v>78</v>
      </c>
      <c r="H464" s="2" t="s">
        <v>10</v>
      </c>
      <c r="I464" s="2" t="s">
        <v>34</v>
      </c>
      <c r="J464" s="2" t="s">
        <v>84</v>
      </c>
      <c r="K464" s="3">
        <v>74.790000000000006</v>
      </c>
      <c r="L464" s="3">
        <v>8.16</v>
      </c>
    </row>
    <row r="465" spans="1:12" ht="20.100000000000001" customHeight="1" x14ac:dyDescent="0.25">
      <c r="A465" s="2" t="s">
        <v>15</v>
      </c>
      <c r="B465" s="2" t="s">
        <v>7</v>
      </c>
      <c r="C465" s="2" t="s">
        <v>100</v>
      </c>
      <c r="D465" s="2" t="s">
        <v>37</v>
      </c>
      <c r="E465" s="2" t="s">
        <v>522</v>
      </c>
      <c r="F465" s="2" t="s">
        <v>404</v>
      </c>
      <c r="G465" s="2" t="s">
        <v>78</v>
      </c>
      <c r="H465" s="2" t="s">
        <v>10</v>
      </c>
      <c r="I465" s="2" t="s">
        <v>34</v>
      </c>
      <c r="J465" s="2" t="s">
        <v>58</v>
      </c>
      <c r="K465" s="3">
        <v>74.64</v>
      </c>
      <c r="L465" s="3">
        <v>8.14</v>
      </c>
    </row>
    <row r="466" spans="1:12" ht="20.100000000000001" customHeight="1" x14ac:dyDescent="0.25">
      <c r="A466" s="2" t="s">
        <v>15</v>
      </c>
      <c r="B466" s="2" t="s">
        <v>6</v>
      </c>
      <c r="C466" s="2" t="s">
        <v>117</v>
      </c>
      <c r="D466" s="2" t="s">
        <v>118</v>
      </c>
      <c r="E466" s="2" t="s">
        <v>534</v>
      </c>
      <c r="F466" s="2" t="s">
        <v>430</v>
      </c>
      <c r="G466" s="2" t="s">
        <v>33</v>
      </c>
      <c r="H466" s="2" t="s">
        <v>10</v>
      </c>
      <c r="I466" s="2" t="s">
        <v>34</v>
      </c>
      <c r="J466" s="2" t="s">
        <v>237</v>
      </c>
      <c r="K466" s="3">
        <v>73.69</v>
      </c>
      <c r="L466" s="3">
        <v>2.95</v>
      </c>
    </row>
    <row r="467" spans="1:12" ht="20.100000000000001" customHeight="1" x14ac:dyDescent="0.25">
      <c r="A467" s="2" t="s">
        <v>15</v>
      </c>
      <c r="B467" s="2" t="s">
        <v>3</v>
      </c>
      <c r="C467" s="2" t="s">
        <v>100</v>
      </c>
      <c r="D467" s="2" t="s">
        <v>37</v>
      </c>
      <c r="E467" s="2" t="s">
        <v>535</v>
      </c>
      <c r="F467" s="2" t="s">
        <v>536</v>
      </c>
      <c r="G467" s="2" t="s">
        <v>83</v>
      </c>
      <c r="H467" s="2" t="s">
        <v>10</v>
      </c>
      <c r="I467" s="2" t="s">
        <v>34</v>
      </c>
      <c r="J467" s="2" t="s">
        <v>58</v>
      </c>
      <c r="K467" s="3">
        <v>73.53</v>
      </c>
      <c r="L467" s="3">
        <v>8.02</v>
      </c>
    </row>
    <row r="468" spans="1:12" ht="20.100000000000001" customHeight="1" x14ac:dyDescent="0.25">
      <c r="A468" s="2" t="s">
        <v>15</v>
      </c>
      <c r="B468" s="2" t="s">
        <v>5</v>
      </c>
      <c r="C468" s="2" t="s">
        <v>339</v>
      </c>
      <c r="D468" s="2" t="s">
        <v>118</v>
      </c>
      <c r="E468" s="2" t="s">
        <v>537</v>
      </c>
      <c r="F468" s="2" t="s">
        <v>527</v>
      </c>
      <c r="G468" s="2" t="s">
        <v>33</v>
      </c>
      <c r="H468" s="2" t="s">
        <v>10</v>
      </c>
      <c r="I468" s="2" t="s">
        <v>34</v>
      </c>
      <c r="J468" s="2" t="s">
        <v>58</v>
      </c>
      <c r="K468" s="3">
        <v>72.75</v>
      </c>
      <c r="L468" s="3">
        <v>2.91</v>
      </c>
    </row>
    <row r="469" spans="1:12" ht="20.100000000000001" customHeight="1" x14ac:dyDescent="0.25">
      <c r="A469" s="2" t="s">
        <v>15</v>
      </c>
      <c r="B469" s="2" t="s">
        <v>5</v>
      </c>
      <c r="C469" s="2" t="s">
        <v>100</v>
      </c>
      <c r="D469" s="2" t="s">
        <v>37</v>
      </c>
      <c r="E469" s="2" t="s">
        <v>538</v>
      </c>
      <c r="F469" s="2" t="s">
        <v>404</v>
      </c>
      <c r="G469" s="2" t="s">
        <v>78</v>
      </c>
      <c r="H469" s="2" t="s">
        <v>10</v>
      </c>
      <c r="I469" s="2" t="s">
        <v>34</v>
      </c>
      <c r="J469" s="2" t="s">
        <v>58</v>
      </c>
      <c r="K469" s="3">
        <v>72.16</v>
      </c>
      <c r="L469" s="3">
        <v>7.87</v>
      </c>
    </row>
    <row r="470" spans="1:12" ht="20.100000000000001" customHeight="1" x14ac:dyDescent="0.25">
      <c r="A470" s="2" t="s">
        <v>15</v>
      </c>
      <c r="B470" s="2" t="s">
        <v>5</v>
      </c>
      <c r="C470" s="2" t="s">
        <v>339</v>
      </c>
      <c r="D470" s="2" t="s">
        <v>118</v>
      </c>
      <c r="E470" s="2" t="s">
        <v>539</v>
      </c>
      <c r="F470" s="2" t="s">
        <v>471</v>
      </c>
      <c r="G470" s="2" t="s">
        <v>33</v>
      </c>
      <c r="H470" s="2" t="s">
        <v>10</v>
      </c>
      <c r="I470" s="2" t="s">
        <v>34</v>
      </c>
      <c r="J470" s="2" t="s">
        <v>58</v>
      </c>
      <c r="K470" s="3">
        <v>71.25</v>
      </c>
      <c r="L470" s="3">
        <v>2.85</v>
      </c>
    </row>
    <row r="471" spans="1:12" ht="20.100000000000001" customHeight="1" x14ac:dyDescent="0.25">
      <c r="A471" s="2" t="s">
        <v>15</v>
      </c>
      <c r="B471" s="2" t="s">
        <v>5</v>
      </c>
      <c r="C471" s="2" t="s">
        <v>339</v>
      </c>
      <c r="D471" s="2" t="s">
        <v>118</v>
      </c>
      <c r="E471" s="2" t="s">
        <v>540</v>
      </c>
      <c r="F471" s="2" t="s">
        <v>527</v>
      </c>
      <c r="G471" s="2" t="s">
        <v>33</v>
      </c>
      <c r="H471" s="2" t="s">
        <v>10</v>
      </c>
      <c r="I471" s="2" t="s">
        <v>34</v>
      </c>
      <c r="J471" s="2" t="s">
        <v>58</v>
      </c>
      <c r="K471" s="3">
        <v>70.88</v>
      </c>
      <c r="L471" s="3">
        <v>2.84</v>
      </c>
    </row>
    <row r="472" spans="1:12" ht="20.100000000000001" customHeight="1" x14ac:dyDescent="0.25">
      <c r="A472" s="2" t="s">
        <v>15</v>
      </c>
      <c r="B472" s="2" t="s">
        <v>5</v>
      </c>
      <c r="C472" s="2" t="s">
        <v>339</v>
      </c>
      <c r="D472" s="2" t="s">
        <v>118</v>
      </c>
      <c r="E472" s="2" t="s">
        <v>541</v>
      </c>
      <c r="F472" s="2" t="s">
        <v>527</v>
      </c>
      <c r="G472" s="2" t="s">
        <v>33</v>
      </c>
      <c r="H472" s="2" t="s">
        <v>10</v>
      </c>
      <c r="I472" s="2" t="s">
        <v>34</v>
      </c>
      <c r="J472" s="2" t="s">
        <v>58</v>
      </c>
      <c r="K472" s="3">
        <v>70.88</v>
      </c>
      <c r="L472" s="3">
        <v>2.84</v>
      </c>
    </row>
    <row r="473" spans="1:12" ht="20.100000000000001" customHeight="1" x14ac:dyDescent="0.25">
      <c r="A473" s="2" t="s">
        <v>15</v>
      </c>
      <c r="B473" s="2" t="s">
        <v>3</v>
      </c>
      <c r="C473" s="2" t="s">
        <v>80</v>
      </c>
      <c r="D473" s="2" t="s">
        <v>37</v>
      </c>
      <c r="E473" s="2" t="s">
        <v>542</v>
      </c>
      <c r="F473" s="2" t="s">
        <v>82</v>
      </c>
      <c r="G473" s="2" t="s">
        <v>83</v>
      </c>
      <c r="H473" s="2" t="s">
        <v>10</v>
      </c>
      <c r="I473" s="2" t="s">
        <v>34</v>
      </c>
      <c r="J473" s="2" t="s">
        <v>84</v>
      </c>
      <c r="K473" s="3">
        <v>70.38</v>
      </c>
      <c r="L473" s="3">
        <v>7.68</v>
      </c>
    </row>
    <row r="474" spans="1:12" ht="20.100000000000001" customHeight="1" x14ac:dyDescent="0.25">
      <c r="A474" s="2" t="s">
        <v>15</v>
      </c>
      <c r="B474" s="2" t="s">
        <v>5</v>
      </c>
      <c r="C474" s="2" t="s">
        <v>339</v>
      </c>
      <c r="D474" s="2" t="s">
        <v>118</v>
      </c>
      <c r="E474" s="2" t="s">
        <v>543</v>
      </c>
      <c r="F474" s="2" t="s">
        <v>544</v>
      </c>
      <c r="G474" s="2" t="s">
        <v>33</v>
      </c>
      <c r="H474" s="2" t="s">
        <v>10</v>
      </c>
      <c r="I474" s="2" t="s">
        <v>34</v>
      </c>
      <c r="J474" s="2" t="s">
        <v>58</v>
      </c>
      <c r="K474" s="3">
        <v>69.75</v>
      </c>
      <c r="L474" s="3">
        <v>2.79</v>
      </c>
    </row>
    <row r="475" spans="1:12" ht="20.100000000000001" customHeight="1" x14ac:dyDescent="0.25">
      <c r="A475" s="2" t="s">
        <v>15</v>
      </c>
      <c r="B475" s="2" t="s">
        <v>5</v>
      </c>
      <c r="C475" s="2" t="s">
        <v>339</v>
      </c>
      <c r="D475" s="2" t="s">
        <v>118</v>
      </c>
      <c r="E475" s="2" t="s">
        <v>545</v>
      </c>
      <c r="F475" s="2" t="s">
        <v>544</v>
      </c>
      <c r="G475" s="2" t="s">
        <v>33</v>
      </c>
      <c r="H475" s="2" t="s">
        <v>10</v>
      </c>
      <c r="I475" s="2" t="s">
        <v>34</v>
      </c>
      <c r="J475" s="2" t="s">
        <v>58</v>
      </c>
      <c r="K475" s="3">
        <v>69.75</v>
      </c>
      <c r="L475" s="3">
        <v>2.79</v>
      </c>
    </row>
    <row r="476" spans="1:12" ht="20.100000000000001" customHeight="1" x14ac:dyDescent="0.25">
      <c r="A476" s="2" t="s">
        <v>15</v>
      </c>
      <c r="B476" s="2" t="s">
        <v>2</v>
      </c>
      <c r="C476" s="2" t="s">
        <v>238</v>
      </c>
      <c r="D476" s="2" t="s">
        <v>30</v>
      </c>
      <c r="E476" s="2" t="s">
        <v>546</v>
      </c>
      <c r="F476" s="2" t="s">
        <v>369</v>
      </c>
      <c r="G476" s="2" t="s">
        <v>120</v>
      </c>
      <c r="H476" s="2" t="s">
        <v>10</v>
      </c>
      <c r="I476" s="2" t="s">
        <v>34</v>
      </c>
      <c r="J476" s="2" t="s">
        <v>237</v>
      </c>
      <c r="K476" s="3">
        <v>69.69</v>
      </c>
      <c r="L476" s="3">
        <v>2.79</v>
      </c>
    </row>
    <row r="477" spans="1:12" ht="20.100000000000001" customHeight="1" x14ac:dyDescent="0.25">
      <c r="A477" s="2" t="s">
        <v>15</v>
      </c>
      <c r="B477" s="2" t="s">
        <v>7</v>
      </c>
      <c r="C477" s="2" t="s">
        <v>80</v>
      </c>
      <c r="D477" s="2" t="s">
        <v>37</v>
      </c>
      <c r="E477" s="2" t="s">
        <v>293</v>
      </c>
      <c r="F477" s="2" t="s">
        <v>82</v>
      </c>
      <c r="G477" s="2" t="s">
        <v>83</v>
      </c>
      <c r="H477" s="2" t="s">
        <v>10</v>
      </c>
      <c r="I477" s="2" t="s">
        <v>34</v>
      </c>
      <c r="J477" s="2" t="s">
        <v>84</v>
      </c>
      <c r="K477" s="3">
        <v>68.31</v>
      </c>
      <c r="L477" s="3">
        <v>7.45</v>
      </c>
    </row>
    <row r="478" spans="1:12" ht="20.100000000000001" customHeight="1" x14ac:dyDescent="0.25">
      <c r="A478" s="2" t="s">
        <v>15</v>
      </c>
      <c r="B478" s="2" t="s">
        <v>7</v>
      </c>
      <c r="C478" s="2" t="s">
        <v>80</v>
      </c>
      <c r="D478" s="2" t="s">
        <v>37</v>
      </c>
      <c r="E478" s="2" t="s">
        <v>547</v>
      </c>
      <c r="F478" s="2" t="s">
        <v>82</v>
      </c>
      <c r="G478" s="2" t="s">
        <v>83</v>
      </c>
      <c r="H478" s="2" t="s">
        <v>10</v>
      </c>
      <c r="I478" s="2" t="s">
        <v>34</v>
      </c>
      <c r="J478" s="2" t="s">
        <v>84</v>
      </c>
      <c r="K478" s="3">
        <v>68.22</v>
      </c>
      <c r="L478" s="3">
        <v>7.44</v>
      </c>
    </row>
    <row r="479" spans="1:12" ht="20.100000000000001" customHeight="1" x14ac:dyDescent="0.25">
      <c r="A479" s="2" t="s">
        <v>15</v>
      </c>
      <c r="B479" s="2" t="s">
        <v>3</v>
      </c>
      <c r="C479" s="2" t="s">
        <v>80</v>
      </c>
      <c r="D479" s="2" t="s">
        <v>37</v>
      </c>
      <c r="E479" s="2" t="s">
        <v>548</v>
      </c>
      <c r="F479" s="2" t="s">
        <v>82</v>
      </c>
      <c r="G479" s="2" t="s">
        <v>83</v>
      </c>
      <c r="H479" s="2" t="s">
        <v>10</v>
      </c>
      <c r="I479" s="2" t="s">
        <v>34</v>
      </c>
      <c r="J479" s="2" t="s">
        <v>84</v>
      </c>
      <c r="K479" s="3">
        <v>67.86</v>
      </c>
      <c r="L479" s="3">
        <v>7.4</v>
      </c>
    </row>
    <row r="480" spans="1:12" ht="20.100000000000001" customHeight="1" x14ac:dyDescent="0.25">
      <c r="A480" s="2" t="s">
        <v>15</v>
      </c>
      <c r="B480" s="2" t="s">
        <v>3</v>
      </c>
      <c r="C480" s="2" t="s">
        <v>80</v>
      </c>
      <c r="D480" s="2" t="s">
        <v>37</v>
      </c>
      <c r="E480" s="2" t="s">
        <v>549</v>
      </c>
      <c r="F480" s="2" t="s">
        <v>82</v>
      </c>
      <c r="G480" s="2" t="s">
        <v>83</v>
      </c>
      <c r="H480" s="2" t="s">
        <v>10</v>
      </c>
      <c r="I480" s="2" t="s">
        <v>34</v>
      </c>
      <c r="J480" s="2" t="s">
        <v>84</v>
      </c>
      <c r="K480" s="3">
        <v>67.86</v>
      </c>
      <c r="L480" s="3">
        <v>7.4</v>
      </c>
    </row>
    <row r="481" spans="1:12" ht="20.100000000000001" customHeight="1" x14ac:dyDescent="0.25">
      <c r="A481" s="2" t="s">
        <v>15</v>
      </c>
      <c r="B481" s="2" t="s">
        <v>5</v>
      </c>
      <c r="C481" s="2" t="s">
        <v>339</v>
      </c>
      <c r="D481" s="2" t="s">
        <v>118</v>
      </c>
      <c r="E481" s="2" t="s">
        <v>550</v>
      </c>
      <c r="F481" s="2" t="s">
        <v>527</v>
      </c>
      <c r="G481" s="2" t="s">
        <v>33</v>
      </c>
      <c r="H481" s="2" t="s">
        <v>10</v>
      </c>
      <c r="I481" s="2" t="s">
        <v>34</v>
      </c>
      <c r="J481" s="2" t="s">
        <v>58</v>
      </c>
      <c r="K481" s="3">
        <v>67.5</v>
      </c>
      <c r="L481" s="3">
        <v>2.7</v>
      </c>
    </row>
    <row r="482" spans="1:12" ht="20.100000000000001" customHeight="1" x14ac:dyDescent="0.25">
      <c r="A482" s="2" t="s">
        <v>15</v>
      </c>
      <c r="B482" s="2" t="s">
        <v>5</v>
      </c>
      <c r="C482" s="2" t="s">
        <v>339</v>
      </c>
      <c r="D482" s="2" t="s">
        <v>118</v>
      </c>
      <c r="E482" s="2" t="s">
        <v>551</v>
      </c>
      <c r="F482" s="2" t="s">
        <v>527</v>
      </c>
      <c r="G482" s="2" t="s">
        <v>33</v>
      </c>
      <c r="H482" s="2" t="s">
        <v>10</v>
      </c>
      <c r="I482" s="2" t="s">
        <v>34</v>
      </c>
      <c r="J482" s="2" t="s">
        <v>58</v>
      </c>
      <c r="K482" s="3">
        <v>67.5</v>
      </c>
      <c r="L482" s="3">
        <v>2.7</v>
      </c>
    </row>
    <row r="483" spans="1:12" ht="20.100000000000001" customHeight="1" x14ac:dyDescent="0.25">
      <c r="A483" s="2" t="s">
        <v>15</v>
      </c>
      <c r="B483" s="2" t="s">
        <v>7</v>
      </c>
      <c r="C483" s="2" t="s">
        <v>80</v>
      </c>
      <c r="D483" s="2" t="s">
        <v>37</v>
      </c>
      <c r="E483" s="2" t="s">
        <v>552</v>
      </c>
      <c r="F483" s="2" t="s">
        <v>82</v>
      </c>
      <c r="G483" s="2" t="s">
        <v>83</v>
      </c>
      <c r="H483" s="2" t="s">
        <v>10</v>
      </c>
      <c r="I483" s="2" t="s">
        <v>34</v>
      </c>
      <c r="J483" s="2" t="s">
        <v>84</v>
      </c>
      <c r="K483" s="3">
        <v>66.69</v>
      </c>
      <c r="L483" s="3">
        <v>7.27</v>
      </c>
    </row>
    <row r="484" spans="1:12" ht="20.100000000000001" customHeight="1" x14ac:dyDescent="0.25">
      <c r="A484" s="2" t="s">
        <v>15</v>
      </c>
      <c r="B484" s="2" t="s">
        <v>6</v>
      </c>
      <c r="C484" s="2" t="s">
        <v>167</v>
      </c>
      <c r="D484" s="2" t="s">
        <v>37</v>
      </c>
      <c r="E484" s="2" t="s">
        <v>553</v>
      </c>
      <c r="F484" s="2" t="s">
        <v>554</v>
      </c>
      <c r="G484" s="2" t="s">
        <v>83</v>
      </c>
      <c r="H484" s="2" t="s">
        <v>10</v>
      </c>
      <c r="I484" s="2" t="s">
        <v>34</v>
      </c>
      <c r="J484" s="2" t="s">
        <v>58</v>
      </c>
      <c r="K484" s="3">
        <v>66.42</v>
      </c>
      <c r="L484" s="3">
        <v>7.25</v>
      </c>
    </row>
    <row r="485" spans="1:12" ht="20.100000000000001" customHeight="1" x14ac:dyDescent="0.25">
      <c r="A485" s="2" t="s">
        <v>15</v>
      </c>
      <c r="B485" s="2" t="s">
        <v>6</v>
      </c>
      <c r="C485" s="2" t="s">
        <v>167</v>
      </c>
      <c r="D485" s="2" t="s">
        <v>37</v>
      </c>
      <c r="E485" s="2" t="s">
        <v>553</v>
      </c>
      <c r="F485" s="2" t="s">
        <v>554</v>
      </c>
      <c r="G485" s="2" t="s">
        <v>83</v>
      </c>
      <c r="H485" s="2" t="s">
        <v>10</v>
      </c>
      <c r="I485" s="2" t="s">
        <v>34</v>
      </c>
      <c r="J485" s="2" t="s">
        <v>58</v>
      </c>
      <c r="K485" s="3">
        <v>66.42</v>
      </c>
      <c r="L485" s="3">
        <v>7.25</v>
      </c>
    </row>
    <row r="486" spans="1:12" ht="20.100000000000001" customHeight="1" x14ac:dyDescent="0.25">
      <c r="A486" s="2" t="s">
        <v>15</v>
      </c>
      <c r="B486" s="2" t="s">
        <v>5</v>
      </c>
      <c r="C486" s="2" t="s">
        <v>339</v>
      </c>
      <c r="D486" s="2" t="s">
        <v>118</v>
      </c>
      <c r="E486" s="2" t="s">
        <v>555</v>
      </c>
      <c r="F486" s="2" t="s">
        <v>527</v>
      </c>
      <c r="G486" s="2" t="s">
        <v>33</v>
      </c>
      <c r="H486" s="2" t="s">
        <v>10</v>
      </c>
      <c r="I486" s="2" t="s">
        <v>34</v>
      </c>
      <c r="J486" s="2" t="s">
        <v>58</v>
      </c>
      <c r="K486" s="3">
        <v>66.38</v>
      </c>
      <c r="L486" s="3">
        <v>2.66</v>
      </c>
    </row>
    <row r="487" spans="1:12" ht="20.100000000000001" customHeight="1" x14ac:dyDescent="0.25">
      <c r="A487" s="2" t="s">
        <v>15</v>
      </c>
      <c r="B487" s="2" t="s">
        <v>6</v>
      </c>
      <c r="C487" s="2" t="s">
        <v>167</v>
      </c>
      <c r="D487" s="2" t="s">
        <v>37</v>
      </c>
      <c r="E487" s="2" t="s">
        <v>556</v>
      </c>
      <c r="F487" s="2" t="s">
        <v>554</v>
      </c>
      <c r="G487" s="2" t="s">
        <v>83</v>
      </c>
      <c r="H487" s="2" t="s">
        <v>10</v>
      </c>
      <c r="I487" s="2" t="s">
        <v>34</v>
      </c>
      <c r="J487" s="2" t="s">
        <v>58</v>
      </c>
      <c r="K487" s="3">
        <v>66.36</v>
      </c>
      <c r="L487" s="3">
        <v>7.24</v>
      </c>
    </row>
    <row r="488" spans="1:12" ht="20.100000000000001" customHeight="1" x14ac:dyDescent="0.25">
      <c r="A488" s="2" t="s">
        <v>15</v>
      </c>
      <c r="B488" s="2" t="s">
        <v>6</v>
      </c>
      <c r="C488" s="2" t="s">
        <v>167</v>
      </c>
      <c r="D488" s="2" t="s">
        <v>37</v>
      </c>
      <c r="E488" s="2" t="s">
        <v>556</v>
      </c>
      <c r="F488" s="2" t="s">
        <v>554</v>
      </c>
      <c r="G488" s="2" t="s">
        <v>83</v>
      </c>
      <c r="H488" s="2" t="s">
        <v>10</v>
      </c>
      <c r="I488" s="2" t="s">
        <v>34</v>
      </c>
      <c r="J488" s="2" t="s">
        <v>58</v>
      </c>
      <c r="K488" s="3">
        <v>66.36</v>
      </c>
      <c r="L488" s="3">
        <v>7.24</v>
      </c>
    </row>
    <row r="489" spans="1:12" ht="20.100000000000001" customHeight="1" x14ac:dyDescent="0.25">
      <c r="A489" s="2" t="s">
        <v>15</v>
      </c>
      <c r="B489" s="2" t="s">
        <v>6</v>
      </c>
      <c r="C489" s="2" t="s">
        <v>167</v>
      </c>
      <c r="D489" s="2" t="s">
        <v>37</v>
      </c>
      <c r="E489" s="2" t="s">
        <v>557</v>
      </c>
      <c r="F489" s="2" t="s">
        <v>554</v>
      </c>
      <c r="G489" s="2" t="s">
        <v>83</v>
      </c>
      <c r="H489" s="2" t="s">
        <v>10</v>
      </c>
      <c r="I489" s="2" t="s">
        <v>34</v>
      </c>
      <c r="J489" s="2" t="s">
        <v>58</v>
      </c>
      <c r="K489" s="3">
        <v>66.36</v>
      </c>
      <c r="L489" s="3">
        <v>7.24</v>
      </c>
    </row>
    <row r="490" spans="1:12" ht="20.100000000000001" customHeight="1" x14ac:dyDescent="0.25">
      <c r="A490" s="2" t="s">
        <v>15</v>
      </c>
      <c r="B490" s="2" t="s">
        <v>7</v>
      </c>
      <c r="C490" s="2" t="s">
        <v>80</v>
      </c>
      <c r="D490" s="2" t="s">
        <v>37</v>
      </c>
      <c r="E490" s="2" t="s">
        <v>217</v>
      </c>
      <c r="F490" s="2" t="s">
        <v>82</v>
      </c>
      <c r="G490" s="2" t="s">
        <v>83</v>
      </c>
      <c r="H490" s="2" t="s">
        <v>10</v>
      </c>
      <c r="I490" s="2" t="s">
        <v>34</v>
      </c>
      <c r="J490" s="2" t="s">
        <v>84</v>
      </c>
      <c r="K490" s="3">
        <v>66.06</v>
      </c>
      <c r="L490" s="3">
        <v>7.21</v>
      </c>
    </row>
    <row r="491" spans="1:12" ht="20.100000000000001" customHeight="1" x14ac:dyDescent="0.25">
      <c r="A491" s="2" t="s">
        <v>15</v>
      </c>
      <c r="B491" s="2" t="s">
        <v>3</v>
      </c>
      <c r="C491" s="2" t="s">
        <v>100</v>
      </c>
      <c r="D491" s="2" t="s">
        <v>37</v>
      </c>
      <c r="E491" s="2" t="s">
        <v>558</v>
      </c>
      <c r="F491" s="2" t="s">
        <v>449</v>
      </c>
      <c r="G491" s="2" t="s">
        <v>83</v>
      </c>
      <c r="H491" s="2" t="s">
        <v>10</v>
      </c>
      <c r="I491" s="2" t="s">
        <v>34</v>
      </c>
      <c r="J491" s="2" t="s">
        <v>74</v>
      </c>
      <c r="K491" s="3">
        <v>66.040000000000006</v>
      </c>
      <c r="L491" s="3">
        <v>7.2</v>
      </c>
    </row>
    <row r="492" spans="1:12" ht="20.100000000000001" customHeight="1" x14ac:dyDescent="0.25">
      <c r="A492" s="2" t="s">
        <v>15</v>
      </c>
      <c r="B492" s="2" t="s">
        <v>5</v>
      </c>
      <c r="C492" s="2" t="s">
        <v>100</v>
      </c>
      <c r="D492" s="2" t="s">
        <v>37</v>
      </c>
      <c r="E492" s="2" t="s">
        <v>559</v>
      </c>
      <c r="F492" s="2" t="s">
        <v>384</v>
      </c>
      <c r="G492" s="2" t="s">
        <v>83</v>
      </c>
      <c r="H492" s="2" t="s">
        <v>10</v>
      </c>
      <c r="I492" s="2" t="s">
        <v>34</v>
      </c>
      <c r="J492" s="2" t="s">
        <v>58</v>
      </c>
      <c r="K492" s="3">
        <v>65.849999999999994</v>
      </c>
      <c r="L492" s="3">
        <v>7.18</v>
      </c>
    </row>
    <row r="493" spans="1:12" ht="20.100000000000001" customHeight="1" x14ac:dyDescent="0.25">
      <c r="A493" s="2" t="s">
        <v>15</v>
      </c>
      <c r="B493" s="2" t="s">
        <v>5</v>
      </c>
      <c r="C493" s="2" t="s">
        <v>80</v>
      </c>
      <c r="D493" s="2" t="s">
        <v>37</v>
      </c>
      <c r="E493" s="2" t="s">
        <v>560</v>
      </c>
      <c r="F493" s="2" t="s">
        <v>82</v>
      </c>
      <c r="G493" s="2" t="s">
        <v>83</v>
      </c>
      <c r="H493" s="2" t="s">
        <v>10</v>
      </c>
      <c r="I493" s="2" t="s">
        <v>34</v>
      </c>
      <c r="J493" s="2" t="s">
        <v>84</v>
      </c>
      <c r="K493" s="3">
        <v>65.069999999999993</v>
      </c>
      <c r="L493" s="3">
        <v>7.1</v>
      </c>
    </row>
    <row r="494" spans="1:12" ht="20.100000000000001" customHeight="1" x14ac:dyDescent="0.25">
      <c r="A494" s="2" t="s">
        <v>15</v>
      </c>
      <c r="B494" s="2" t="s">
        <v>2</v>
      </c>
      <c r="C494" s="2" t="s">
        <v>66</v>
      </c>
      <c r="D494" s="2" t="s">
        <v>63</v>
      </c>
      <c r="E494" s="2" t="s">
        <v>561</v>
      </c>
      <c r="F494" s="2" t="s">
        <v>65</v>
      </c>
      <c r="G494" s="2" t="s">
        <v>45</v>
      </c>
      <c r="H494" s="2" t="s">
        <v>10</v>
      </c>
      <c r="I494" s="2" t="s">
        <v>34</v>
      </c>
      <c r="J494" s="2" t="s">
        <v>46</v>
      </c>
      <c r="K494" s="3">
        <v>65</v>
      </c>
      <c r="L494" s="3">
        <v>7.8</v>
      </c>
    </row>
    <row r="495" spans="1:12" ht="20.100000000000001" customHeight="1" x14ac:dyDescent="0.25">
      <c r="A495" s="2" t="s">
        <v>15</v>
      </c>
      <c r="B495" s="2" t="s">
        <v>5</v>
      </c>
      <c r="C495" s="2" t="s">
        <v>137</v>
      </c>
      <c r="D495" s="2" t="s">
        <v>138</v>
      </c>
      <c r="E495" s="2" t="s">
        <v>562</v>
      </c>
      <c r="F495" s="2" t="s">
        <v>298</v>
      </c>
      <c r="G495" s="2" t="s">
        <v>45</v>
      </c>
      <c r="H495" s="2" t="s">
        <v>10</v>
      </c>
      <c r="I495" s="2" t="s">
        <v>34</v>
      </c>
      <c r="J495" s="2" t="s">
        <v>51</v>
      </c>
      <c r="K495" s="3">
        <v>65</v>
      </c>
      <c r="L495" s="3">
        <v>7.8</v>
      </c>
    </row>
    <row r="496" spans="1:12" ht="20.100000000000001" customHeight="1" x14ac:dyDescent="0.25">
      <c r="A496" s="2" t="s">
        <v>15</v>
      </c>
      <c r="B496" s="2" t="s">
        <v>6</v>
      </c>
      <c r="C496" s="2" t="s">
        <v>210</v>
      </c>
      <c r="D496" s="2" t="s">
        <v>134</v>
      </c>
      <c r="E496" s="2" t="s">
        <v>563</v>
      </c>
      <c r="F496" s="2" t="s">
        <v>140</v>
      </c>
      <c r="G496" s="2" t="s">
        <v>120</v>
      </c>
      <c r="H496" s="2" t="s">
        <v>10</v>
      </c>
      <c r="I496" s="2" t="s">
        <v>34</v>
      </c>
      <c r="J496" s="2" t="s">
        <v>58</v>
      </c>
      <c r="K496" s="3">
        <v>64.650000000000006</v>
      </c>
      <c r="L496" s="3">
        <v>2.59</v>
      </c>
    </row>
    <row r="497" spans="1:12" ht="20.100000000000001" customHeight="1" x14ac:dyDescent="0.25">
      <c r="A497" s="2" t="s">
        <v>9</v>
      </c>
      <c r="B497" s="2" t="s">
        <v>7</v>
      </c>
      <c r="C497" s="2" t="s">
        <v>564</v>
      </c>
      <c r="D497" s="2" t="s">
        <v>37</v>
      </c>
      <c r="E497" s="2" t="s">
        <v>565</v>
      </c>
      <c r="F497" s="2" t="s">
        <v>566</v>
      </c>
      <c r="G497" s="2" t="s">
        <v>83</v>
      </c>
      <c r="H497" s="2" t="s">
        <v>10</v>
      </c>
      <c r="I497" s="2" t="s">
        <v>34</v>
      </c>
      <c r="J497" s="2" t="s">
        <v>567</v>
      </c>
      <c r="K497" s="3">
        <v>64.62</v>
      </c>
      <c r="L497" s="3">
        <v>7.05</v>
      </c>
    </row>
    <row r="498" spans="1:12" ht="20.100000000000001" customHeight="1" x14ac:dyDescent="0.25">
      <c r="A498" s="2" t="s">
        <v>15</v>
      </c>
      <c r="B498" s="2" t="s">
        <v>4</v>
      </c>
      <c r="C498" s="2" t="s">
        <v>62</v>
      </c>
      <c r="D498" s="2" t="s">
        <v>63</v>
      </c>
      <c r="E498" s="2" t="s">
        <v>508</v>
      </c>
      <c r="F498" s="2" t="s">
        <v>65</v>
      </c>
      <c r="G498" s="2" t="s">
        <v>45</v>
      </c>
      <c r="H498" s="2" t="s">
        <v>10</v>
      </c>
      <c r="I498" s="2" t="s">
        <v>34</v>
      </c>
      <c r="J498" s="2" t="s">
        <v>41</v>
      </c>
      <c r="K498" s="3">
        <v>64.5</v>
      </c>
      <c r="L498" s="3">
        <v>7.74</v>
      </c>
    </row>
    <row r="499" spans="1:12" ht="20.100000000000001" customHeight="1" x14ac:dyDescent="0.25">
      <c r="A499" s="2" t="s">
        <v>15</v>
      </c>
      <c r="B499" s="2" t="s">
        <v>2</v>
      </c>
      <c r="C499" s="2" t="s">
        <v>238</v>
      </c>
      <c r="D499" s="2" t="s">
        <v>30</v>
      </c>
      <c r="E499" s="2" t="s">
        <v>568</v>
      </c>
      <c r="F499" s="2" t="s">
        <v>240</v>
      </c>
      <c r="G499" s="2" t="s">
        <v>120</v>
      </c>
      <c r="H499" s="2" t="s">
        <v>10</v>
      </c>
      <c r="I499" s="2" t="s">
        <v>34</v>
      </c>
      <c r="J499" s="2" t="s">
        <v>58</v>
      </c>
      <c r="K499" s="3">
        <v>64.260000000000005</v>
      </c>
      <c r="L499" s="3">
        <v>2.57</v>
      </c>
    </row>
    <row r="500" spans="1:12" ht="20.100000000000001" customHeight="1" x14ac:dyDescent="0.25">
      <c r="A500" s="2" t="s">
        <v>15</v>
      </c>
      <c r="B500" s="2" t="s">
        <v>6</v>
      </c>
      <c r="C500" s="2" t="s">
        <v>210</v>
      </c>
      <c r="D500" s="2" t="s">
        <v>134</v>
      </c>
      <c r="E500" s="2" t="s">
        <v>569</v>
      </c>
      <c r="F500" s="2" t="s">
        <v>140</v>
      </c>
      <c r="G500" s="2" t="s">
        <v>120</v>
      </c>
      <c r="H500" s="2" t="s">
        <v>10</v>
      </c>
      <c r="I500" s="2" t="s">
        <v>34</v>
      </c>
      <c r="J500" s="2" t="s">
        <v>58</v>
      </c>
      <c r="K500" s="3">
        <v>63.5</v>
      </c>
      <c r="L500" s="3">
        <v>2.5499999999999998</v>
      </c>
    </row>
    <row r="501" spans="1:12" ht="20.100000000000001" customHeight="1" x14ac:dyDescent="0.25">
      <c r="A501" s="2" t="s">
        <v>15</v>
      </c>
      <c r="B501" s="2" t="s">
        <v>3</v>
      </c>
      <c r="C501" s="2" t="s">
        <v>133</v>
      </c>
      <c r="D501" s="2" t="s">
        <v>134</v>
      </c>
      <c r="E501" s="2" t="s">
        <v>570</v>
      </c>
      <c r="F501" s="2" t="s">
        <v>258</v>
      </c>
      <c r="G501" s="2" t="s">
        <v>120</v>
      </c>
      <c r="H501" s="2" t="s">
        <v>10</v>
      </c>
      <c r="I501" s="2" t="s">
        <v>34</v>
      </c>
      <c r="J501" s="2" t="s">
        <v>58</v>
      </c>
      <c r="K501" s="3">
        <v>63.48</v>
      </c>
      <c r="L501" s="3">
        <v>7.62</v>
      </c>
    </row>
    <row r="502" spans="1:12" ht="20.100000000000001" customHeight="1" x14ac:dyDescent="0.25">
      <c r="A502" s="2" t="s">
        <v>15</v>
      </c>
      <c r="B502" s="2" t="s">
        <v>5</v>
      </c>
      <c r="C502" s="2" t="s">
        <v>339</v>
      </c>
      <c r="D502" s="2" t="s">
        <v>118</v>
      </c>
      <c r="E502" s="2" t="s">
        <v>571</v>
      </c>
      <c r="F502" s="2" t="s">
        <v>527</v>
      </c>
      <c r="G502" s="2" t="s">
        <v>33</v>
      </c>
      <c r="H502" s="2" t="s">
        <v>10</v>
      </c>
      <c r="I502" s="2" t="s">
        <v>34</v>
      </c>
      <c r="J502" s="2" t="s">
        <v>58</v>
      </c>
      <c r="K502" s="3">
        <v>63.38</v>
      </c>
      <c r="L502" s="3">
        <v>2.54</v>
      </c>
    </row>
    <row r="503" spans="1:12" ht="20.100000000000001" customHeight="1" x14ac:dyDescent="0.25">
      <c r="A503" s="2" t="s">
        <v>15</v>
      </c>
      <c r="B503" s="2" t="s">
        <v>2</v>
      </c>
      <c r="C503" s="2" t="s">
        <v>238</v>
      </c>
      <c r="D503" s="2" t="s">
        <v>30</v>
      </c>
      <c r="E503" s="2" t="s">
        <v>572</v>
      </c>
      <c r="F503" s="2" t="s">
        <v>341</v>
      </c>
      <c r="G503" s="2" t="s">
        <v>120</v>
      </c>
      <c r="H503" s="2" t="s">
        <v>10</v>
      </c>
      <c r="I503" s="2" t="s">
        <v>34</v>
      </c>
      <c r="J503" s="2" t="s">
        <v>58</v>
      </c>
      <c r="K503" s="3">
        <v>63.38</v>
      </c>
      <c r="L503" s="3">
        <v>2.54</v>
      </c>
    </row>
    <row r="504" spans="1:12" ht="20.100000000000001" customHeight="1" x14ac:dyDescent="0.25">
      <c r="A504" s="2" t="s">
        <v>15</v>
      </c>
      <c r="B504" s="2" t="s">
        <v>5</v>
      </c>
      <c r="C504" s="2" t="s">
        <v>339</v>
      </c>
      <c r="D504" s="2" t="s">
        <v>118</v>
      </c>
      <c r="E504" s="2" t="s">
        <v>573</v>
      </c>
      <c r="F504" s="2" t="s">
        <v>471</v>
      </c>
      <c r="G504" s="2" t="s">
        <v>33</v>
      </c>
      <c r="H504" s="2" t="s">
        <v>10</v>
      </c>
      <c r="I504" s="2" t="s">
        <v>34</v>
      </c>
      <c r="J504" s="2" t="s">
        <v>58</v>
      </c>
      <c r="K504" s="3">
        <v>62.64</v>
      </c>
      <c r="L504" s="3">
        <v>2.5099999999999998</v>
      </c>
    </row>
    <row r="505" spans="1:12" ht="20.100000000000001" customHeight="1" x14ac:dyDescent="0.25">
      <c r="A505" s="2" t="s">
        <v>15</v>
      </c>
      <c r="B505" s="2" t="s">
        <v>5</v>
      </c>
      <c r="C505" s="2" t="s">
        <v>339</v>
      </c>
      <c r="D505" s="2" t="s">
        <v>118</v>
      </c>
      <c r="E505" s="2" t="s">
        <v>574</v>
      </c>
      <c r="F505" s="2" t="s">
        <v>575</v>
      </c>
      <c r="G505" s="2" t="s">
        <v>33</v>
      </c>
      <c r="H505" s="2" t="s">
        <v>10</v>
      </c>
      <c r="I505" s="2" t="s">
        <v>34</v>
      </c>
      <c r="J505" s="2" t="s">
        <v>58</v>
      </c>
      <c r="K505" s="3">
        <v>62.1</v>
      </c>
      <c r="L505" s="3">
        <v>2.48</v>
      </c>
    </row>
    <row r="506" spans="1:12" ht="20.100000000000001" customHeight="1" x14ac:dyDescent="0.25">
      <c r="A506" s="2" t="s">
        <v>15</v>
      </c>
      <c r="B506" s="2" t="s">
        <v>2</v>
      </c>
      <c r="C506" s="2" t="s">
        <v>238</v>
      </c>
      <c r="D506" s="2" t="s">
        <v>30</v>
      </c>
      <c r="E506" s="2" t="s">
        <v>576</v>
      </c>
      <c r="F506" s="2" t="s">
        <v>462</v>
      </c>
      <c r="G506" s="2" t="s">
        <v>120</v>
      </c>
      <c r="H506" s="2" t="s">
        <v>10</v>
      </c>
      <c r="I506" s="2" t="s">
        <v>34</v>
      </c>
      <c r="J506" s="2" t="s">
        <v>58</v>
      </c>
      <c r="K506" s="3">
        <v>61.61</v>
      </c>
      <c r="L506" s="3">
        <v>2.46</v>
      </c>
    </row>
    <row r="507" spans="1:12" ht="20.100000000000001" customHeight="1" x14ac:dyDescent="0.25">
      <c r="A507" s="2" t="s">
        <v>15</v>
      </c>
      <c r="B507" s="2" t="s">
        <v>2</v>
      </c>
      <c r="C507" s="2" t="s">
        <v>238</v>
      </c>
      <c r="D507" s="2" t="s">
        <v>30</v>
      </c>
      <c r="E507" s="2" t="s">
        <v>577</v>
      </c>
      <c r="F507" s="2" t="s">
        <v>341</v>
      </c>
      <c r="G507" s="2" t="s">
        <v>120</v>
      </c>
      <c r="H507" s="2" t="s">
        <v>10</v>
      </c>
      <c r="I507" s="2" t="s">
        <v>34</v>
      </c>
      <c r="J507" s="2" t="s">
        <v>58</v>
      </c>
      <c r="K507" s="3">
        <v>61.06</v>
      </c>
      <c r="L507" s="3">
        <v>2.44</v>
      </c>
    </row>
    <row r="508" spans="1:12" ht="20.100000000000001" customHeight="1" x14ac:dyDescent="0.25">
      <c r="A508" s="2" t="s">
        <v>15</v>
      </c>
      <c r="B508" s="2" t="s">
        <v>2</v>
      </c>
      <c r="C508" s="2" t="s">
        <v>238</v>
      </c>
      <c r="D508" s="2" t="s">
        <v>30</v>
      </c>
      <c r="E508" s="2" t="s">
        <v>578</v>
      </c>
      <c r="F508" s="2" t="s">
        <v>369</v>
      </c>
      <c r="G508" s="2" t="s">
        <v>120</v>
      </c>
      <c r="H508" s="2" t="s">
        <v>10</v>
      </c>
      <c r="I508" s="2" t="s">
        <v>34</v>
      </c>
      <c r="J508" s="2" t="s">
        <v>237</v>
      </c>
      <c r="K508" s="3">
        <v>60.61</v>
      </c>
      <c r="L508" s="3">
        <v>2.42</v>
      </c>
    </row>
    <row r="509" spans="1:12" ht="20.100000000000001" customHeight="1" x14ac:dyDescent="0.25">
      <c r="A509" s="2" t="s">
        <v>15</v>
      </c>
      <c r="B509" s="2" t="s">
        <v>3</v>
      </c>
      <c r="C509" s="2" t="s">
        <v>100</v>
      </c>
      <c r="D509" s="2" t="s">
        <v>37</v>
      </c>
      <c r="E509" s="2" t="s">
        <v>579</v>
      </c>
      <c r="F509" s="2" t="s">
        <v>449</v>
      </c>
      <c r="G509" s="2" t="s">
        <v>83</v>
      </c>
      <c r="H509" s="2" t="s">
        <v>10</v>
      </c>
      <c r="I509" s="2" t="s">
        <v>34</v>
      </c>
      <c r="J509" s="2" t="s">
        <v>58</v>
      </c>
      <c r="K509" s="3">
        <v>60.57</v>
      </c>
      <c r="L509" s="3">
        <v>6.61</v>
      </c>
    </row>
    <row r="510" spans="1:12" ht="20.100000000000001" customHeight="1" x14ac:dyDescent="0.25">
      <c r="A510" s="2" t="s">
        <v>15</v>
      </c>
      <c r="B510" s="2" t="s">
        <v>5</v>
      </c>
      <c r="C510" s="2" t="s">
        <v>100</v>
      </c>
      <c r="D510" s="2" t="s">
        <v>37</v>
      </c>
      <c r="E510" s="2" t="s">
        <v>580</v>
      </c>
      <c r="F510" s="2" t="s">
        <v>449</v>
      </c>
      <c r="G510" s="2" t="s">
        <v>83</v>
      </c>
      <c r="H510" s="2" t="s">
        <v>10</v>
      </c>
      <c r="I510" s="2" t="s">
        <v>34</v>
      </c>
      <c r="J510" s="2" t="s">
        <v>58</v>
      </c>
      <c r="K510" s="3">
        <v>60.57</v>
      </c>
      <c r="L510" s="3">
        <v>6.61</v>
      </c>
    </row>
    <row r="511" spans="1:12" ht="20.100000000000001" customHeight="1" x14ac:dyDescent="0.25">
      <c r="A511" s="2" t="s">
        <v>15</v>
      </c>
      <c r="B511" s="2" t="s">
        <v>3</v>
      </c>
      <c r="C511" s="2" t="s">
        <v>100</v>
      </c>
      <c r="D511" s="2" t="s">
        <v>37</v>
      </c>
      <c r="E511" s="2" t="s">
        <v>581</v>
      </c>
      <c r="F511" s="2" t="s">
        <v>384</v>
      </c>
      <c r="G511" s="2" t="s">
        <v>83</v>
      </c>
      <c r="H511" s="2" t="s">
        <v>10</v>
      </c>
      <c r="I511" s="2" t="s">
        <v>34</v>
      </c>
      <c r="J511" s="2" t="s">
        <v>237</v>
      </c>
      <c r="K511" s="3">
        <v>60.56</v>
      </c>
      <c r="L511" s="3">
        <v>6.61</v>
      </c>
    </row>
    <row r="512" spans="1:12" ht="20.100000000000001" customHeight="1" x14ac:dyDescent="0.25">
      <c r="A512" s="2" t="s">
        <v>15</v>
      </c>
      <c r="B512" s="2" t="s">
        <v>2</v>
      </c>
      <c r="C512" s="2" t="s">
        <v>238</v>
      </c>
      <c r="D512" s="2" t="s">
        <v>30</v>
      </c>
      <c r="E512" s="2" t="s">
        <v>582</v>
      </c>
      <c r="F512" s="2" t="s">
        <v>341</v>
      </c>
      <c r="G512" s="2" t="s">
        <v>120</v>
      </c>
      <c r="H512" s="2" t="s">
        <v>10</v>
      </c>
      <c r="I512" s="2" t="s">
        <v>34</v>
      </c>
      <c r="J512" s="2" t="s">
        <v>58</v>
      </c>
      <c r="K512" s="3">
        <v>58.16</v>
      </c>
      <c r="L512" s="3">
        <v>2.33</v>
      </c>
    </row>
    <row r="513" spans="1:12" ht="20.100000000000001" customHeight="1" x14ac:dyDescent="0.25">
      <c r="A513" s="2" t="s">
        <v>15</v>
      </c>
      <c r="B513" s="2" t="s">
        <v>3</v>
      </c>
      <c r="C513" s="2" t="s">
        <v>100</v>
      </c>
      <c r="D513" s="2" t="s">
        <v>37</v>
      </c>
      <c r="E513" s="2" t="s">
        <v>583</v>
      </c>
      <c r="F513" s="2" t="s">
        <v>584</v>
      </c>
      <c r="G513" s="2" t="s">
        <v>78</v>
      </c>
      <c r="H513" s="2" t="s">
        <v>10</v>
      </c>
      <c r="I513" s="2" t="s">
        <v>34</v>
      </c>
      <c r="J513" s="2" t="s">
        <v>237</v>
      </c>
      <c r="K513" s="3">
        <v>58.04</v>
      </c>
      <c r="L513" s="3">
        <v>6.33</v>
      </c>
    </row>
    <row r="514" spans="1:12" ht="20.100000000000001" customHeight="1" x14ac:dyDescent="0.25">
      <c r="A514" s="2" t="s">
        <v>15</v>
      </c>
      <c r="B514" s="2" t="s">
        <v>6</v>
      </c>
      <c r="C514" s="2" t="s">
        <v>117</v>
      </c>
      <c r="D514" s="2" t="s">
        <v>118</v>
      </c>
      <c r="E514" s="2" t="s">
        <v>585</v>
      </c>
      <c r="F514" s="2" t="s">
        <v>544</v>
      </c>
      <c r="G514" s="2" t="s">
        <v>33</v>
      </c>
      <c r="H514" s="2" t="s">
        <v>10</v>
      </c>
      <c r="I514" s="2" t="s">
        <v>34</v>
      </c>
      <c r="J514" s="2" t="s">
        <v>58</v>
      </c>
      <c r="K514" s="3">
        <v>57.96</v>
      </c>
      <c r="L514" s="3">
        <v>6.96</v>
      </c>
    </row>
    <row r="515" spans="1:12" ht="20.100000000000001" customHeight="1" x14ac:dyDescent="0.25">
      <c r="A515" s="2" t="s">
        <v>15</v>
      </c>
      <c r="B515" s="2" t="s">
        <v>7</v>
      </c>
      <c r="C515" s="2" t="s">
        <v>100</v>
      </c>
      <c r="D515" s="2" t="s">
        <v>37</v>
      </c>
      <c r="E515" s="2" t="s">
        <v>586</v>
      </c>
      <c r="F515" s="2" t="s">
        <v>404</v>
      </c>
      <c r="G515" s="2" t="s">
        <v>78</v>
      </c>
      <c r="H515" s="2" t="s">
        <v>10</v>
      </c>
      <c r="I515" s="2" t="s">
        <v>34</v>
      </c>
      <c r="J515" s="2" t="s">
        <v>58</v>
      </c>
      <c r="K515" s="3">
        <v>57.2</v>
      </c>
      <c r="L515" s="3">
        <v>6.24</v>
      </c>
    </row>
    <row r="516" spans="1:12" ht="20.100000000000001" customHeight="1" x14ac:dyDescent="0.25">
      <c r="A516" s="2" t="s">
        <v>15</v>
      </c>
      <c r="B516" s="2" t="s">
        <v>6</v>
      </c>
      <c r="C516" s="2" t="s">
        <v>210</v>
      </c>
      <c r="D516" s="2" t="s">
        <v>134</v>
      </c>
      <c r="E516" s="2" t="s">
        <v>587</v>
      </c>
      <c r="F516" s="2" t="s">
        <v>266</v>
      </c>
      <c r="G516" s="2" t="s">
        <v>33</v>
      </c>
      <c r="H516" s="2" t="s">
        <v>10</v>
      </c>
      <c r="I516" s="2" t="s">
        <v>34</v>
      </c>
      <c r="J516" s="2" t="s">
        <v>267</v>
      </c>
      <c r="K516" s="3">
        <v>56.78</v>
      </c>
      <c r="L516" s="3">
        <v>6.84</v>
      </c>
    </row>
    <row r="517" spans="1:12" ht="20.100000000000001" customHeight="1" x14ac:dyDescent="0.25">
      <c r="A517" s="2" t="s">
        <v>15</v>
      </c>
      <c r="B517" s="2" t="s">
        <v>5</v>
      </c>
      <c r="C517" s="2" t="s">
        <v>339</v>
      </c>
      <c r="D517" s="2" t="s">
        <v>118</v>
      </c>
      <c r="E517" s="2" t="s">
        <v>588</v>
      </c>
      <c r="F517" s="2" t="s">
        <v>98</v>
      </c>
      <c r="G517" s="2" t="s">
        <v>33</v>
      </c>
      <c r="H517" s="2" t="s">
        <v>10</v>
      </c>
      <c r="I517" s="2" t="s">
        <v>34</v>
      </c>
      <c r="J517" s="2" t="s">
        <v>58</v>
      </c>
      <c r="K517" s="3">
        <v>55.39</v>
      </c>
      <c r="L517" s="3">
        <v>2.2200000000000002</v>
      </c>
    </row>
    <row r="518" spans="1:12" ht="20.100000000000001" customHeight="1" x14ac:dyDescent="0.25">
      <c r="A518" s="2" t="s">
        <v>15</v>
      </c>
      <c r="B518" s="2" t="s">
        <v>5</v>
      </c>
      <c r="C518" s="2" t="s">
        <v>339</v>
      </c>
      <c r="D518" s="2" t="s">
        <v>118</v>
      </c>
      <c r="E518" s="2" t="s">
        <v>589</v>
      </c>
      <c r="F518" s="2" t="s">
        <v>590</v>
      </c>
      <c r="G518" s="2" t="s">
        <v>33</v>
      </c>
      <c r="H518" s="2" t="s">
        <v>10</v>
      </c>
      <c r="I518" s="2" t="s">
        <v>34</v>
      </c>
      <c r="J518" s="2" t="s">
        <v>58</v>
      </c>
      <c r="K518" s="3">
        <v>55.17</v>
      </c>
      <c r="L518" s="3">
        <v>2.21</v>
      </c>
    </row>
    <row r="519" spans="1:12" ht="20.100000000000001" customHeight="1" x14ac:dyDescent="0.25">
      <c r="A519" s="2" t="s">
        <v>15</v>
      </c>
      <c r="B519" s="2" t="s">
        <v>6</v>
      </c>
      <c r="C519" s="2" t="s">
        <v>167</v>
      </c>
      <c r="D519" s="2" t="s">
        <v>37</v>
      </c>
      <c r="E519" s="2" t="s">
        <v>591</v>
      </c>
      <c r="F519" s="2" t="s">
        <v>592</v>
      </c>
      <c r="G519" s="2" t="s">
        <v>78</v>
      </c>
      <c r="H519" s="2" t="s">
        <v>10</v>
      </c>
      <c r="I519" s="2" t="s">
        <v>34</v>
      </c>
      <c r="J519" s="2" t="s">
        <v>58</v>
      </c>
      <c r="K519" s="3">
        <v>54.84</v>
      </c>
      <c r="L519" s="3">
        <v>5.98</v>
      </c>
    </row>
    <row r="520" spans="1:12" ht="20.100000000000001" customHeight="1" x14ac:dyDescent="0.25">
      <c r="A520" s="2" t="s">
        <v>15</v>
      </c>
      <c r="B520" s="2" t="s">
        <v>7</v>
      </c>
      <c r="C520" s="2" t="s">
        <v>96</v>
      </c>
      <c r="D520" s="2" t="s">
        <v>63</v>
      </c>
      <c r="E520" s="2" t="s">
        <v>593</v>
      </c>
      <c r="F520" s="2" t="s">
        <v>358</v>
      </c>
      <c r="G520" s="2" t="s">
        <v>33</v>
      </c>
      <c r="H520" s="2" t="s">
        <v>10</v>
      </c>
      <c r="I520" s="2" t="s">
        <v>34</v>
      </c>
      <c r="J520" s="2" t="s">
        <v>51</v>
      </c>
      <c r="K520" s="3">
        <v>54.31</v>
      </c>
      <c r="L520" s="3">
        <v>2.17</v>
      </c>
    </row>
    <row r="521" spans="1:12" ht="20.100000000000001" customHeight="1" x14ac:dyDescent="0.25">
      <c r="A521" s="2" t="s">
        <v>15</v>
      </c>
      <c r="B521" s="2" t="s">
        <v>5</v>
      </c>
      <c r="C521" s="2" t="s">
        <v>339</v>
      </c>
      <c r="D521" s="2" t="s">
        <v>118</v>
      </c>
      <c r="E521" s="2" t="s">
        <v>594</v>
      </c>
      <c r="F521" s="2" t="s">
        <v>532</v>
      </c>
      <c r="G521" s="2" t="s">
        <v>33</v>
      </c>
      <c r="H521" s="2" t="s">
        <v>10</v>
      </c>
      <c r="I521" s="2" t="s">
        <v>34</v>
      </c>
      <c r="J521" s="2" t="s">
        <v>58</v>
      </c>
      <c r="K521" s="3">
        <v>54.2</v>
      </c>
      <c r="L521" s="3">
        <v>2.17</v>
      </c>
    </row>
    <row r="522" spans="1:12" ht="20.100000000000001" customHeight="1" x14ac:dyDescent="0.25">
      <c r="A522" s="2" t="s">
        <v>15</v>
      </c>
      <c r="B522" s="2" t="s">
        <v>4</v>
      </c>
      <c r="C522" s="2" t="s">
        <v>93</v>
      </c>
      <c r="D522" s="2" t="s">
        <v>63</v>
      </c>
      <c r="E522" s="2" t="s">
        <v>518</v>
      </c>
      <c r="F522" s="2" t="s">
        <v>65</v>
      </c>
      <c r="G522" s="2" t="s">
        <v>45</v>
      </c>
      <c r="H522" s="2" t="s">
        <v>10</v>
      </c>
      <c r="I522" s="2" t="s">
        <v>34</v>
      </c>
      <c r="J522" s="2" t="s">
        <v>41</v>
      </c>
      <c r="K522" s="3">
        <v>54</v>
      </c>
      <c r="L522" s="3">
        <v>0</v>
      </c>
    </row>
    <row r="523" spans="1:12" ht="20.100000000000001" customHeight="1" x14ac:dyDescent="0.25">
      <c r="A523" s="2" t="s">
        <v>15</v>
      </c>
      <c r="B523" s="2" t="s">
        <v>2</v>
      </c>
      <c r="C523" s="2" t="s">
        <v>238</v>
      </c>
      <c r="D523" s="2" t="s">
        <v>30</v>
      </c>
      <c r="E523" s="2" t="s">
        <v>595</v>
      </c>
      <c r="F523" s="2" t="s">
        <v>462</v>
      </c>
      <c r="G523" s="2" t="s">
        <v>120</v>
      </c>
      <c r="H523" s="2" t="s">
        <v>10</v>
      </c>
      <c r="I523" s="2" t="s">
        <v>34</v>
      </c>
      <c r="J523" s="2" t="s">
        <v>58</v>
      </c>
      <c r="K523" s="3">
        <v>53.81</v>
      </c>
      <c r="L523" s="3">
        <v>2.15</v>
      </c>
    </row>
    <row r="524" spans="1:12" ht="20.100000000000001" customHeight="1" x14ac:dyDescent="0.25">
      <c r="A524" s="2" t="s">
        <v>15</v>
      </c>
      <c r="B524" s="2" t="s">
        <v>6</v>
      </c>
      <c r="C524" s="2" t="s">
        <v>210</v>
      </c>
      <c r="D524" s="2" t="s">
        <v>134</v>
      </c>
      <c r="E524" s="2" t="s">
        <v>596</v>
      </c>
      <c r="F524" s="2" t="s">
        <v>454</v>
      </c>
      <c r="G524" s="2" t="s">
        <v>120</v>
      </c>
      <c r="H524" s="2" t="s">
        <v>10</v>
      </c>
      <c r="I524" s="2" t="s">
        <v>34</v>
      </c>
      <c r="J524" s="2" t="s">
        <v>58</v>
      </c>
      <c r="K524" s="3">
        <v>53.45</v>
      </c>
      <c r="L524" s="3">
        <v>2.14</v>
      </c>
    </row>
    <row r="525" spans="1:12" ht="20.100000000000001" customHeight="1" x14ac:dyDescent="0.25">
      <c r="A525" s="2" t="s">
        <v>15</v>
      </c>
      <c r="B525" s="2" t="s">
        <v>5</v>
      </c>
      <c r="C525" s="2" t="s">
        <v>100</v>
      </c>
      <c r="D525" s="2" t="s">
        <v>37</v>
      </c>
      <c r="E525" s="2" t="s">
        <v>597</v>
      </c>
      <c r="F525" s="2" t="s">
        <v>598</v>
      </c>
      <c r="G525" s="2" t="s">
        <v>83</v>
      </c>
      <c r="H525" s="2" t="s">
        <v>10</v>
      </c>
      <c r="I525" s="2" t="s">
        <v>34</v>
      </c>
      <c r="J525" s="2" t="s">
        <v>58</v>
      </c>
      <c r="K525" s="3">
        <v>51.36</v>
      </c>
      <c r="L525" s="3">
        <v>5.6</v>
      </c>
    </row>
    <row r="526" spans="1:12" ht="20.100000000000001" customHeight="1" x14ac:dyDescent="0.25">
      <c r="A526" s="2" t="s">
        <v>15</v>
      </c>
      <c r="B526" s="2" t="s">
        <v>6</v>
      </c>
      <c r="C526" s="2" t="s">
        <v>117</v>
      </c>
      <c r="D526" s="2" t="s">
        <v>118</v>
      </c>
      <c r="E526" s="2" t="s">
        <v>599</v>
      </c>
      <c r="F526" s="2" t="s">
        <v>600</v>
      </c>
      <c r="G526" s="2" t="s">
        <v>120</v>
      </c>
      <c r="H526" s="2" t="s">
        <v>10</v>
      </c>
      <c r="I526" s="2" t="s">
        <v>34</v>
      </c>
      <c r="J526" s="2" t="s">
        <v>58</v>
      </c>
      <c r="K526" s="3">
        <v>51.24</v>
      </c>
      <c r="L526" s="3">
        <v>6.15</v>
      </c>
    </row>
    <row r="527" spans="1:12" ht="20.100000000000001" customHeight="1" x14ac:dyDescent="0.25">
      <c r="A527" s="2" t="s">
        <v>15</v>
      </c>
      <c r="B527" s="2" t="s">
        <v>2</v>
      </c>
      <c r="C527" s="2" t="s">
        <v>238</v>
      </c>
      <c r="D527" s="2" t="s">
        <v>30</v>
      </c>
      <c r="E527" s="2" t="s">
        <v>601</v>
      </c>
      <c r="F527" s="2" t="s">
        <v>240</v>
      </c>
      <c r="G527" s="2" t="s">
        <v>120</v>
      </c>
      <c r="H527" s="2" t="s">
        <v>10</v>
      </c>
      <c r="I527" s="2" t="s">
        <v>34</v>
      </c>
      <c r="J527" s="2" t="s">
        <v>58</v>
      </c>
      <c r="K527" s="3">
        <v>50.9</v>
      </c>
      <c r="L527" s="3">
        <v>2.04</v>
      </c>
    </row>
    <row r="528" spans="1:12" ht="20.100000000000001" customHeight="1" x14ac:dyDescent="0.25">
      <c r="A528" s="2" t="s">
        <v>15</v>
      </c>
      <c r="B528" s="2" t="s">
        <v>3</v>
      </c>
      <c r="C528" s="2" t="s">
        <v>80</v>
      </c>
      <c r="D528" s="2" t="s">
        <v>37</v>
      </c>
      <c r="E528" s="2" t="s">
        <v>602</v>
      </c>
      <c r="F528" s="2" t="s">
        <v>603</v>
      </c>
      <c r="G528" s="2" t="s">
        <v>78</v>
      </c>
      <c r="H528" s="2" t="s">
        <v>10</v>
      </c>
      <c r="I528" s="2" t="s">
        <v>34</v>
      </c>
      <c r="J528" s="2" t="s">
        <v>84</v>
      </c>
      <c r="K528" s="3">
        <v>50.22</v>
      </c>
      <c r="L528" s="3">
        <v>5.48</v>
      </c>
    </row>
    <row r="529" spans="1:12" ht="20.100000000000001" customHeight="1" x14ac:dyDescent="0.25">
      <c r="A529" s="2" t="s">
        <v>15</v>
      </c>
      <c r="B529" s="2" t="s">
        <v>6</v>
      </c>
      <c r="C529" s="2" t="s">
        <v>210</v>
      </c>
      <c r="D529" s="2" t="s">
        <v>134</v>
      </c>
      <c r="E529" s="2" t="s">
        <v>604</v>
      </c>
      <c r="F529" s="2" t="s">
        <v>462</v>
      </c>
      <c r="G529" s="2" t="s">
        <v>120</v>
      </c>
      <c r="H529" s="2" t="s">
        <v>10</v>
      </c>
      <c r="I529" s="2" t="s">
        <v>34</v>
      </c>
      <c r="J529" s="2" t="s">
        <v>58</v>
      </c>
      <c r="K529" s="3">
        <v>49.78</v>
      </c>
      <c r="L529" s="3">
        <v>2</v>
      </c>
    </row>
    <row r="530" spans="1:12" ht="20.100000000000001" customHeight="1" x14ac:dyDescent="0.25">
      <c r="A530" s="2" t="s">
        <v>15</v>
      </c>
      <c r="B530" s="2" t="s">
        <v>5</v>
      </c>
      <c r="C530" s="2" t="s">
        <v>339</v>
      </c>
      <c r="D530" s="2" t="s">
        <v>118</v>
      </c>
      <c r="E530" s="2" t="s">
        <v>605</v>
      </c>
      <c r="F530" s="2" t="s">
        <v>497</v>
      </c>
      <c r="G530" s="2" t="s">
        <v>33</v>
      </c>
      <c r="H530" s="2" t="s">
        <v>10</v>
      </c>
      <c r="I530" s="2" t="s">
        <v>34</v>
      </c>
      <c r="J530" s="2" t="s">
        <v>58</v>
      </c>
      <c r="K530" s="3">
        <v>49.5</v>
      </c>
      <c r="L530" s="3">
        <v>1.98</v>
      </c>
    </row>
    <row r="531" spans="1:12" ht="20.100000000000001" customHeight="1" x14ac:dyDescent="0.25">
      <c r="A531" s="2" t="s">
        <v>15</v>
      </c>
      <c r="B531" s="2" t="s">
        <v>5</v>
      </c>
      <c r="C531" s="2" t="s">
        <v>339</v>
      </c>
      <c r="D531" s="2" t="s">
        <v>118</v>
      </c>
      <c r="E531" s="2" t="s">
        <v>606</v>
      </c>
      <c r="F531" s="2" t="s">
        <v>527</v>
      </c>
      <c r="G531" s="2" t="s">
        <v>33</v>
      </c>
      <c r="H531" s="2" t="s">
        <v>10</v>
      </c>
      <c r="I531" s="2" t="s">
        <v>34</v>
      </c>
      <c r="J531" s="2" t="s">
        <v>58</v>
      </c>
      <c r="K531" s="3">
        <v>49.5</v>
      </c>
      <c r="L531" s="3">
        <v>1.98</v>
      </c>
    </row>
    <row r="532" spans="1:12" ht="20.100000000000001" customHeight="1" x14ac:dyDescent="0.25">
      <c r="A532" s="2" t="s">
        <v>15</v>
      </c>
      <c r="B532" s="2" t="s">
        <v>5</v>
      </c>
      <c r="C532" s="2" t="s">
        <v>339</v>
      </c>
      <c r="D532" s="2" t="s">
        <v>118</v>
      </c>
      <c r="E532" s="2" t="s">
        <v>607</v>
      </c>
      <c r="F532" s="2" t="s">
        <v>497</v>
      </c>
      <c r="G532" s="2" t="s">
        <v>33</v>
      </c>
      <c r="H532" s="2" t="s">
        <v>10</v>
      </c>
      <c r="I532" s="2" t="s">
        <v>34</v>
      </c>
      <c r="J532" s="2" t="s">
        <v>58</v>
      </c>
      <c r="K532" s="3">
        <v>49.13</v>
      </c>
      <c r="L532" s="3">
        <v>1.97</v>
      </c>
    </row>
    <row r="533" spans="1:12" ht="20.100000000000001" customHeight="1" x14ac:dyDescent="0.25">
      <c r="A533" s="2" t="s">
        <v>15</v>
      </c>
      <c r="B533" s="2" t="s">
        <v>6</v>
      </c>
      <c r="C533" s="2" t="s">
        <v>142</v>
      </c>
      <c r="D533" s="2" t="s">
        <v>143</v>
      </c>
      <c r="E533" s="2" t="s">
        <v>608</v>
      </c>
      <c r="F533" s="2" t="s">
        <v>609</v>
      </c>
      <c r="G533" s="2" t="s">
        <v>45</v>
      </c>
      <c r="H533" s="2" t="s">
        <v>10</v>
      </c>
      <c r="I533" s="2" t="s">
        <v>34</v>
      </c>
      <c r="J533" s="2" t="s">
        <v>74</v>
      </c>
      <c r="K533" s="3">
        <v>48.96</v>
      </c>
      <c r="L533" s="3">
        <v>7.2</v>
      </c>
    </row>
    <row r="534" spans="1:12" ht="20.100000000000001" customHeight="1" x14ac:dyDescent="0.25">
      <c r="A534" s="2" t="s">
        <v>15</v>
      </c>
      <c r="B534" s="2" t="s">
        <v>5</v>
      </c>
      <c r="C534" s="2" t="s">
        <v>339</v>
      </c>
      <c r="D534" s="2" t="s">
        <v>118</v>
      </c>
      <c r="E534" s="2" t="s">
        <v>610</v>
      </c>
      <c r="F534" s="2" t="s">
        <v>544</v>
      </c>
      <c r="G534" s="2" t="s">
        <v>33</v>
      </c>
      <c r="H534" s="2" t="s">
        <v>10</v>
      </c>
      <c r="I534" s="2" t="s">
        <v>34</v>
      </c>
      <c r="J534" s="2" t="s">
        <v>58</v>
      </c>
      <c r="K534" s="3">
        <v>48</v>
      </c>
      <c r="L534" s="3">
        <v>1.92</v>
      </c>
    </row>
    <row r="535" spans="1:12" ht="20.100000000000001" customHeight="1" x14ac:dyDescent="0.25">
      <c r="A535" s="2" t="s">
        <v>15</v>
      </c>
      <c r="B535" s="2" t="s">
        <v>7</v>
      </c>
      <c r="C535" s="2" t="s">
        <v>80</v>
      </c>
      <c r="D535" s="2" t="s">
        <v>37</v>
      </c>
      <c r="E535" s="2" t="s">
        <v>611</v>
      </c>
      <c r="F535" s="2" t="s">
        <v>82</v>
      </c>
      <c r="G535" s="2" t="s">
        <v>83</v>
      </c>
      <c r="H535" s="2" t="s">
        <v>10</v>
      </c>
      <c r="I535" s="2" t="s">
        <v>34</v>
      </c>
      <c r="J535" s="2" t="s">
        <v>84</v>
      </c>
      <c r="K535" s="3">
        <v>44.55</v>
      </c>
      <c r="L535" s="3">
        <v>4.8600000000000003</v>
      </c>
    </row>
    <row r="536" spans="1:12" ht="20.100000000000001" customHeight="1" x14ac:dyDescent="0.25">
      <c r="A536" s="2" t="s">
        <v>15</v>
      </c>
      <c r="B536" s="2" t="s">
        <v>5</v>
      </c>
      <c r="C536" s="2" t="s">
        <v>80</v>
      </c>
      <c r="D536" s="2" t="s">
        <v>37</v>
      </c>
      <c r="E536" s="2" t="s">
        <v>611</v>
      </c>
      <c r="F536" s="2" t="s">
        <v>82</v>
      </c>
      <c r="G536" s="2" t="s">
        <v>83</v>
      </c>
      <c r="H536" s="2" t="s">
        <v>10</v>
      </c>
      <c r="I536" s="2" t="s">
        <v>34</v>
      </c>
      <c r="J536" s="2" t="s">
        <v>84</v>
      </c>
      <c r="K536" s="3">
        <v>44.55</v>
      </c>
      <c r="L536" s="3">
        <v>4.8600000000000003</v>
      </c>
    </row>
    <row r="537" spans="1:12" ht="20.100000000000001" customHeight="1" x14ac:dyDescent="0.25">
      <c r="A537" s="2" t="s">
        <v>15</v>
      </c>
      <c r="B537" s="2" t="s">
        <v>3</v>
      </c>
      <c r="C537" s="2" t="s">
        <v>80</v>
      </c>
      <c r="D537" s="2" t="s">
        <v>37</v>
      </c>
      <c r="E537" s="2" t="s">
        <v>611</v>
      </c>
      <c r="F537" s="2" t="s">
        <v>82</v>
      </c>
      <c r="G537" s="2" t="s">
        <v>83</v>
      </c>
      <c r="H537" s="2" t="s">
        <v>10</v>
      </c>
      <c r="I537" s="2" t="s">
        <v>34</v>
      </c>
      <c r="J537" s="2" t="s">
        <v>84</v>
      </c>
      <c r="K537" s="3">
        <v>44.55</v>
      </c>
      <c r="L537" s="3">
        <v>4.8600000000000003</v>
      </c>
    </row>
    <row r="538" spans="1:12" ht="20.100000000000001" customHeight="1" x14ac:dyDescent="0.25">
      <c r="A538" s="2" t="s">
        <v>15</v>
      </c>
      <c r="B538" s="2" t="s">
        <v>6</v>
      </c>
      <c r="C538" s="2" t="s">
        <v>210</v>
      </c>
      <c r="D538" s="2" t="s">
        <v>134</v>
      </c>
      <c r="E538" s="2" t="s">
        <v>612</v>
      </c>
      <c r="F538" s="2" t="s">
        <v>613</v>
      </c>
      <c r="G538" s="2" t="s">
        <v>33</v>
      </c>
      <c r="H538" s="2" t="s">
        <v>10</v>
      </c>
      <c r="I538" s="2" t="s">
        <v>34</v>
      </c>
      <c r="J538" s="2" t="s">
        <v>58</v>
      </c>
      <c r="K538" s="3">
        <v>44.41</v>
      </c>
      <c r="L538" s="3">
        <v>1.78</v>
      </c>
    </row>
    <row r="539" spans="1:12" ht="20.100000000000001" customHeight="1" x14ac:dyDescent="0.25">
      <c r="A539" s="2" t="s">
        <v>15</v>
      </c>
      <c r="B539" s="2" t="s">
        <v>6</v>
      </c>
      <c r="C539" s="2" t="s">
        <v>210</v>
      </c>
      <c r="D539" s="2" t="s">
        <v>134</v>
      </c>
      <c r="E539" s="2" t="s">
        <v>614</v>
      </c>
      <c r="F539" s="2" t="s">
        <v>613</v>
      </c>
      <c r="G539" s="2" t="s">
        <v>33</v>
      </c>
      <c r="H539" s="2" t="s">
        <v>10</v>
      </c>
      <c r="I539" s="2" t="s">
        <v>34</v>
      </c>
      <c r="J539" s="2" t="s">
        <v>58</v>
      </c>
      <c r="K539" s="3">
        <v>44.41</v>
      </c>
      <c r="L539" s="3">
        <v>1.78</v>
      </c>
    </row>
    <row r="540" spans="1:12" ht="20.100000000000001" customHeight="1" x14ac:dyDescent="0.25">
      <c r="A540" s="2" t="s">
        <v>15</v>
      </c>
      <c r="B540" s="2" t="s">
        <v>5</v>
      </c>
      <c r="C540" s="2" t="s">
        <v>238</v>
      </c>
      <c r="D540" s="2" t="s">
        <v>30</v>
      </c>
      <c r="E540" s="2" t="s">
        <v>615</v>
      </c>
      <c r="F540" s="2" t="s">
        <v>616</v>
      </c>
      <c r="G540" s="2" t="s">
        <v>120</v>
      </c>
      <c r="H540" s="2" t="s">
        <v>10</v>
      </c>
      <c r="I540" s="2" t="s">
        <v>34</v>
      </c>
      <c r="J540" s="2" t="s">
        <v>237</v>
      </c>
      <c r="K540" s="3">
        <v>44.08</v>
      </c>
      <c r="L540" s="3">
        <v>1.76</v>
      </c>
    </row>
    <row r="541" spans="1:12" ht="20.100000000000001" customHeight="1" x14ac:dyDescent="0.25">
      <c r="A541" s="2" t="s">
        <v>15</v>
      </c>
      <c r="B541" s="2" t="s">
        <v>3</v>
      </c>
      <c r="C541" s="2" t="s">
        <v>62</v>
      </c>
      <c r="D541" s="2" t="s">
        <v>63</v>
      </c>
      <c r="E541" s="2" t="s">
        <v>359</v>
      </c>
      <c r="F541" s="2" t="s">
        <v>65</v>
      </c>
      <c r="G541" s="2" t="s">
        <v>45</v>
      </c>
      <c r="H541" s="2" t="s">
        <v>10</v>
      </c>
      <c r="I541" s="2" t="s">
        <v>34</v>
      </c>
      <c r="J541" s="2" t="s">
        <v>41</v>
      </c>
      <c r="K541" s="3">
        <v>44</v>
      </c>
      <c r="L541" s="3">
        <v>5.28</v>
      </c>
    </row>
    <row r="542" spans="1:12" ht="20.100000000000001" customHeight="1" x14ac:dyDescent="0.25">
      <c r="A542" s="2" t="s">
        <v>15</v>
      </c>
      <c r="B542" s="2" t="s">
        <v>2</v>
      </c>
      <c r="C542" s="2" t="s">
        <v>100</v>
      </c>
      <c r="D542" s="2" t="s">
        <v>37</v>
      </c>
      <c r="E542" s="2" t="s">
        <v>617</v>
      </c>
      <c r="F542" s="2" t="s">
        <v>618</v>
      </c>
      <c r="G542" s="2" t="s">
        <v>83</v>
      </c>
      <c r="H542" s="2" t="s">
        <v>10</v>
      </c>
      <c r="I542" s="2" t="s">
        <v>34</v>
      </c>
      <c r="J542" s="2" t="s">
        <v>58</v>
      </c>
      <c r="K542" s="3">
        <v>43.86</v>
      </c>
      <c r="L542" s="3">
        <v>4.79</v>
      </c>
    </row>
    <row r="543" spans="1:12" ht="20.100000000000001" customHeight="1" x14ac:dyDescent="0.25">
      <c r="A543" s="2" t="s">
        <v>15</v>
      </c>
      <c r="B543" s="2" t="s">
        <v>3</v>
      </c>
      <c r="C543" s="2" t="s">
        <v>80</v>
      </c>
      <c r="D543" s="2" t="s">
        <v>37</v>
      </c>
      <c r="E543" s="2" t="s">
        <v>619</v>
      </c>
      <c r="F543" s="2" t="s">
        <v>603</v>
      </c>
      <c r="G543" s="2" t="s">
        <v>78</v>
      </c>
      <c r="H543" s="2" t="s">
        <v>10</v>
      </c>
      <c r="I543" s="2" t="s">
        <v>34</v>
      </c>
      <c r="J543" s="2" t="s">
        <v>84</v>
      </c>
      <c r="K543" s="3">
        <v>43.74</v>
      </c>
      <c r="L543" s="3">
        <v>4.78</v>
      </c>
    </row>
    <row r="544" spans="1:12" ht="20.100000000000001" customHeight="1" x14ac:dyDescent="0.25">
      <c r="A544" s="2" t="s">
        <v>15</v>
      </c>
      <c r="B544" s="2" t="s">
        <v>5</v>
      </c>
      <c r="C544" s="2" t="s">
        <v>66</v>
      </c>
      <c r="D544" s="2" t="s">
        <v>63</v>
      </c>
      <c r="E544" s="2" t="s">
        <v>620</v>
      </c>
      <c r="F544" s="2" t="s">
        <v>65</v>
      </c>
      <c r="G544" s="2" t="s">
        <v>45</v>
      </c>
      <c r="H544" s="2" t="s">
        <v>10</v>
      </c>
      <c r="I544" s="2" t="s">
        <v>34</v>
      </c>
      <c r="J544" s="2" t="s">
        <v>41</v>
      </c>
      <c r="K544" s="3">
        <v>43.68</v>
      </c>
      <c r="L544" s="3">
        <v>5.24</v>
      </c>
    </row>
    <row r="545" spans="1:12" ht="20.100000000000001" customHeight="1" x14ac:dyDescent="0.25">
      <c r="A545" s="2" t="s">
        <v>15</v>
      </c>
      <c r="B545" s="2" t="s">
        <v>2</v>
      </c>
      <c r="C545" s="2" t="s">
        <v>66</v>
      </c>
      <c r="D545" s="2" t="s">
        <v>63</v>
      </c>
      <c r="E545" s="2" t="s">
        <v>621</v>
      </c>
      <c r="F545" s="2" t="s">
        <v>65</v>
      </c>
      <c r="G545" s="2" t="s">
        <v>45</v>
      </c>
      <c r="H545" s="2" t="s">
        <v>10</v>
      </c>
      <c r="I545" s="2" t="s">
        <v>34</v>
      </c>
      <c r="J545" s="2" t="s">
        <v>41</v>
      </c>
      <c r="K545" s="3">
        <v>43.68</v>
      </c>
      <c r="L545" s="3">
        <v>5.24</v>
      </c>
    </row>
    <row r="546" spans="1:12" ht="20.100000000000001" customHeight="1" x14ac:dyDescent="0.25">
      <c r="A546" s="2" t="s">
        <v>15</v>
      </c>
      <c r="B546" s="2" t="s">
        <v>6</v>
      </c>
      <c r="C546" s="2" t="s">
        <v>117</v>
      </c>
      <c r="D546" s="2" t="s">
        <v>118</v>
      </c>
      <c r="E546" s="2" t="s">
        <v>622</v>
      </c>
      <c r="F546" s="2" t="s">
        <v>544</v>
      </c>
      <c r="G546" s="2" t="s">
        <v>33</v>
      </c>
      <c r="H546" s="2" t="s">
        <v>10</v>
      </c>
      <c r="I546" s="2" t="s">
        <v>34</v>
      </c>
      <c r="J546" s="2" t="s">
        <v>58</v>
      </c>
      <c r="K546" s="3">
        <v>43.24</v>
      </c>
      <c r="L546" s="3">
        <v>5.19</v>
      </c>
    </row>
    <row r="547" spans="1:12" ht="20.100000000000001" customHeight="1" x14ac:dyDescent="0.25">
      <c r="A547" s="2" t="s">
        <v>15</v>
      </c>
      <c r="B547" s="2" t="s">
        <v>5</v>
      </c>
      <c r="C547" s="2" t="s">
        <v>339</v>
      </c>
      <c r="D547" s="2" t="s">
        <v>118</v>
      </c>
      <c r="E547" s="2" t="s">
        <v>623</v>
      </c>
      <c r="F547" s="2" t="s">
        <v>471</v>
      </c>
      <c r="G547" s="2" t="s">
        <v>33</v>
      </c>
      <c r="H547" s="2" t="s">
        <v>10</v>
      </c>
      <c r="I547" s="2" t="s">
        <v>34</v>
      </c>
      <c r="J547" s="2" t="s">
        <v>58</v>
      </c>
      <c r="K547" s="3">
        <v>42.75</v>
      </c>
      <c r="L547" s="3">
        <v>1.71</v>
      </c>
    </row>
    <row r="548" spans="1:12" ht="20.100000000000001" customHeight="1" x14ac:dyDescent="0.25">
      <c r="A548" s="2" t="s">
        <v>15</v>
      </c>
      <c r="B548" s="2" t="s">
        <v>7</v>
      </c>
      <c r="C548" s="2" t="s">
        <v>80</v>
      </c>
      <c r="D548" s="2" t="s">
        <v>37</v>
      </c>
      <c r="E548" s="2" t="s">
        <v>624</v>
      </c>
      <c r="F548" s="2" t="s">
        <v>82</v>
      </c>
      <c r="G548" s="2" t="s">
        <v>83</v>
      </c>
      <c r="H548" s="2" t="s">
        <v>10</v>
      </c>
      <c r="I548" s="2" t="s">
        <v>34</v>
      </c>
      <c r="J548" s="2" t="s">
        <v>84</v>
      </c>
      <c r="K548" s="3">
        <v>42.39</v>
      </c>
      <c r="L548" s="3">
        <v>4.63</v>
      </c>
    </row>
    <row r="549" spans="1:12" ht="20.100000000000001" customHeight="1" x14ac:dyDescent="0.25">
      <c r="A549" s="2" t="s">
        <v>15</v>
      </c>
      <c r="B549" s="2" t="s">
        <v>2</v>
      </c>
      <c r="C549" s="2" t="s">
        <v>66</v>
      </c>
      <c r="D549" s="2" t="s">
        <v>63</v>
      </c>
      <c r="E549" s="2" t="s">
        <v>625</v>
      </c>
      <c r="F549" s="2" t="s">
        <v>65</v>
      </c>
      <c r="G549" s="2" t="s">
        <v>45</v>
      </c>
      <c r="H549" s="2" t="s">
        <v>10</v>
      </c>
      <c r="I549" s="2" t="s">
        <v>34</v>
      </c>
      <c r="J549" s="2" t="s">
        <v>41</v>
      </c>
      <c r="K549" s="3">
        <v>42</v>
      </c>
      <c r="L549" s="3">
        <v>5.04</v>
      </c>
    </row>
    <row r="550" spans="1:12" ht="20.100000000000001" customHeight="1" x14ac:dyDescent="0.25">
      <c r="A550" s="2" t="s">
        <v>15</v>
      </c>
      <c r="B550" s="2" t="s">
        <v>2</v>
      </c>
      <c r="C550" s="2" t="s">
        <v>238</v>
      </c>
      <c r="D550" s="2" t="s">
        <v>30</v>
      </c>
      <c r="E550" s="2" t="s">
        <v>626</v>
      </c>
      <c r="F550" s="2" t="s">
        <v>369</v>
      </c>
      <c r="G550" s="2" t="s">
        <v>120</v>
      </c>
      <c r="H550" s="2" t="s">
        <v>10</v>
      </c>
      <c r="I550" s="2" t="s">
        <v>34</v>
      </c>
      <c r="J550" s="2" t="s">
        <v>237</v>
      </c>
      <c r="K550" s="3">
        <v>41.76</v>
      </c>
      <c r="L550" s="3">
        <v>1.67</v>
      </c>
    </row>
    <row r="551" spans="1:12" ht="20.100000000000001" customHeight="1" x14ac:dyDescent="0.25">
      <c r="A551" s="2" t="s">
        <v>15</v>
      </c>
      <c r="B551" s="2" t="s">
        <v>3</v>
      </c>
      <c r="C551" s="2" t="s">
        <v>80</v>
      </c>
      <c r="D551" s="2" t="s">
        <v>37</v>
      </c>
      <c r="E551" s="2" t="s">
        <v>627</v>
      </c>
      <c r="F551" s="2" t="s">
        <v>603</v>
      </c>
      <c r="G551" s="2" t="s">
        <v>78</v>
      </c>
      <c r="H551" s="2" t="s">
        <v>10</v>
      </c>
      <c r="I551" s="2" t="s">
        <v>34</v>
      </c>
      <c r="J551" s="2" t="s">
        <v>84</v>
      </c>
      <c r="K551" s="3">
        <v>41.4</v>
      </c>
      <c r="L551" s="3">
        <v>4.5199999999999996</v>
      </c>
    </row>
    <row r="552" spans="1:12" ht="20.100000000000001" customHeight="1" x14ac:dyDescent="0.25">
      <c r="A552" s="2" t="s">
        <v>15</v>
      </c>
      <c r="B552" s="2" t="s">
        <v>6</v>
      </c>
      <c r="C552" s="2" t="s">
        <v>96</v>
      </c>
      <c r="D552" s="2" t="s">
        <v>63</v>
      </c>
      <c r="E552" s="2" t="s">
        <v>628</v>
      </c>
      <c r="F552" s="2" t="s">
        <v>348</v>
      </c>
      <c r="G552" s="2" t="s">
        <v>33</v>
      </c>
      <c r="H552" s="2" t="s">
        <v>10</v>
      </c>
      <c r="I552" s="2" t="s">
        <v>34</v>
      </c>
      <c r="J552" s="2" t="s">
        <v>84</v>
      </c>
      <c r="K552" s="3">
        <v>41.27</v>
      </c>
      <c r="L552" s="3">
        <v>1.65</v>
      </c>
    </row>
    <row r="553" spans="1:12" ht="20.100000000000001" customHeight="1" x14ac:dyDescent="0.25">
      <c r="A553" s="2" t="s">
        <v>15</v>
      </c>
      <c r="B553" s="2" t="s">
        <v>6</v>
      </c>
      <c r="C553" s="2" t="s">
        <v>210</v>
      </c>
      <c r="D553" s="2" t="s">
        <v>134</v>
      </c>
      <c r="E553" s="2" t="s">
        <v>629</v>
      </c>
      <c r="F553" s="2" t="s">
        <v>630</v>
      </c>
      <c r="G553" s="2" t="s">
        <v>120</v>
      </c>
      <c r="H553" s="2" t="s">
        <v>10</v>
      </c>
      <c r="I553" s="2" t="s">
        <v>34</v>
      </c>
      <c r="J553" s="2" t="s">
        <v>58</v>
      </c>
      <c r="K553" s="3">
        <v>41.16</v>
      </c>
      <c r="L553" s="3">
        <v>1.65</v>
      </c>
    </row>
    <row r="554" spans="1:12" ht="20.100000000000001" customHeight="1" x14ac:dyDescent="0.25">
      <c r="A554" s="2" t="s">
        <v>15</v>
      </c>
      <c r="B554" s="2" t="s">
        <v>5</v>
      </c>
      <c r="C554" s="2" t="s">
        <v>339</v>
      </c>
      <c r="D554" s="2" t="s">
        <v>118</v>
      </c>
      <c r="E554" s="2" t="s">
        <v>631</v>
      </c>
      <c r="F554" s="2" t="s">
        <v>98</v>
      </c>
      <c r="G554" s="2" t="s">
        <v>33</v>
      </c>
      <c r="H554" s="2" t="s">
        <v>10</v>
      </c>
      <c r="I554" s="2" t="s">
        <v>34</v>
      </c>
      <c r="J554" s="2" t="s">
        <v>58</v>
      </c>
      <c r="K554" s="3">
        <v>40.82</v>
      </c>
      <c r="L554" s="3">
        <v>1.63</v>
      </c>
    </row>
    <row r="555" spans="1:12" ht="20.100000000000001" customHeight="1" x14ac:dyDescent="0.25">
      <c r="A555" s="2" t="s">
        <v>15</v>
      </c>
      <c r="B555" s="2" t="s">
        <v>6</v>
      </c>
      <c r="C555" s="2" t="s">
        <v>117</v>
      </c>
      <c r="D555" s="2" t="s">
        <v>118</v>
      </c>
      <c r="E555" s="2" t="s">
        <v>632</v>
      </c>
      <c r="F555" s="2" t="s">
        <v>430</v>
      </c>
      <c r="G555" s="2" t="s">
        <v>33</v>
      </c>
      <c r="H555" s="2" t="s">
        <v>10</v>
      </c>
      <c r="I555" s="2" t="s">
        <v>34</v>
      </c>
      <c r="J555" s="2" t="s">
        <v>237</v>
      </c>
      <c r="K555" s="3">
        <v>40.74</v>
      </c>
      <c r="L555" s="3">
        <v>1.63</v>
      </c>
    </row>
    <row r="556" spans="1:12" ht="20.100000000000001" customHeight="1" x14ac:dyDescent="0.25">
      <c r="A556" s="2" t="s">
        <v>15</v>
      </c>
      <c r="B556" s="2" t="s">
        <v>6</v>
      </c>
      <c r="C556" s="2" t="s">
        <v>210</v>
      </c>
      <c r="D556" s="2" t="s">
        <v>134</v>
      </c>
      <c r="E556" s="2" t="s">
        <v>633</v>
      </c>
      <c r="F556" s="2" t="s">
        <v>634</v>
      </c>
      <c r="G556" s="2" t="s">
        <v>120</v>
      </c>
      <c r="H556" s="2" t="s">
        <v>10</v>
      </c>
      <c r="I556" s="2" t="s">
        <v>34</v>
      </c>
      <c r="J556" s="2" t="s">
        <v>58</v>
      </c>
      <c r="K556" s="3">
        <v>40.549999999999997</v>
      </c>
      <c r="L556" s="3">
        <v>4.88</v>
      </c>
    </row>
    <row r="557" spans="1:12" ht="20.100000000000001" customHeight="1" x14ac:dyDescent="0.25">
      <c r="A557" s="2" t="s">
        <v>15</v>
      </c>
      <c r="B557" s="2" t="s">
        <v>6</v>
      </c>
      <c r="C557" s="2" t="s">
        <v>210</v>
      </c>
      <c r="D557" s="2" t="s">
        <v>134</v>
      </c>
      <c r="E557" s="2" t="s">
        <v>635</v>
      </c>
      <c r="F557" s="2" t="s">
        <v>266</v>
      </c>
      <c r="G557" s="2" t="s">
        <v>33</v>
      </c>
      <c r="H557" s="2" t="s">
        <v>10</v>
      </c>
      <c r="I557" s="2" t="s">
        <v>34</v>
      </c>
      <c r="J557" s="2" t="s">
        <v>267</v>
      </c>
      <c r="K557" s="3">
        <v>40.29</v>
      </c>
      <c r="L557" s="3">
        <v>4.8499999999999996</v>
      </c>
    </row>
    <row r="558" spans="1:12" ht="20.100000000000001" customHeight="1" x14ac:dyDescent="0.25">
      <c r="A558" s="2" t="s">
        <v>15</v>
      </c>
      <c r="B558" s="2" t="s">
        <v>3</v>
      </c>
      <c r="C558" s="2" t="s">
        <v>80</v>
      </c>
      <c r="D558" s="2" t="s">
        <v>37</v>
      </c>
      <c r="E558" s="2" t="s">
        <v>636</v>
      </c>
      <c r="F558" s="2" t="s">
        <v>603</v>
      </c>
      <c r="G558" s="2" t="s">
        <v>78</v>
      </c>
      <c r="H558" s="2" t="s">
        <v>10</v>
      </c>
      <c r="I558" s="2" t="s">
        <v>34</v>
      </c>
      <c r="J558" s="2" t="s">
        <v>84</v>
      </c>
      <c r="K558" s="3">
        <v>39.6</v>
      </c>
      <c r="L558" s="3">
        <v>4.32</v>
      </c>
    </row>
    <row r="559" spans="1:12" ht="20.100000000000001" customHeight="1" x14ac:dyDescent="0.25">
      <c r="A559" s="2" t="s">
        <v>15</v>
      </c>
      <c r="B559" s="2" t="s">
        <v>5</v>
      </c>
      <c r="C559" s="2" t="s">
        <v>339</v>
      </c>
      <c r="D559" s="2" t="s">
        <v>118</v>
      </c>
      <c r="E559" s="2" t="s">
        <v>637</v>
      </c>
      <c r="F559" s="2" t="s">
        <v>634</v>
      </c>
      <c r="G559" s="2" t="s">
        <v>120</v>
      </c>
      <c r="H559" s="2" t="s">
        <v>10</v>
      </c>
      <c r="I559" s="2" t="s">
        <v>34</v>
      </c>
      <c r="J559" s="2" t="s">
        <v>58</v>
      </c>
      <c r="K559" s="3">
        <v>39.380000000000003</v>
      </c>
      <c r="L559" s="3">
        <v>1.58</v>
      </c>
    </row>
    <row r="560" spans="1:12" ht="20.100000000000001" customHeight="1" x14ac:dyDescent="0.25">
      <c r="A560" s="2" t="s">
        <v>15</v>
      </c>
      <c r="B560" s="2" t="s">
        <v>5</v>
      </c>
      <c r="C560" s="2" t="s">
        <v>238</v>
      </c>
      <c r="D560" s="2" t="s">
        <v>30</v>
      </c>
      <c r="E560" s="2" t="s">
        <v>638</v>
      </c>
      <c r="F560" s="2" t="s">
        <v>369</v>
      </c>
      <c r="G560" s="2" t="s">
        <v>120</v>
      </c>
      <c r="H560" s="2" t="s">
        <v>10</v>
      </c>
      <c r="I560" s="2" t="s">
        <v>34</v>
      </c>
      <c r="J560" s="2" t="s">
        <v>237</v>
      </c>
      <c r="K560" s="3">
        <v>38.549999999999997</v>
      </c>
      <c r="L560" s="3">
        <v>1.54</v>
      </c>
    </row>
    <row r="561" spans="1:12" ht="20.100000000000001" customHeight="1" x14ac:dyDescent="0.25">
      <c r="A561" s="2" t="s">
        <v>15</v>
      </c>
      <c r="B561" s="2" t="s">
        <v>3</v>
      </c>
      <c r="C561" s="2" t="s">
        <v>80</v>
      </c>
      <c r="D561" s="2" t="s">
        <v>37</v>
      </c>
      <c r="E561" s="2" t="s">
        <v>639</v>
      </c>
      <c r="F561" s="2" t="s">
        <v>603</v>
      </c>
      <c r="G561" s="2" t="s">
        <v>78</v>
      </c>
      <c r="H561" s="2" t="s">
        <v>10</v>
      </c>
      <c r="I561" s="2" t="s">
        <v>34</v>
      </c>
      <c r="J561" s="2" t="s">
        <v>84</v>
      </c>
      <c r="K561" s="3">
        <v>37.26</v>
      </c>
      <c r="L561" s="3">
        <v>4.07</v>
      </c>
    </row>
    <row r="562" spans="1:12" ht="20.100000000000001" customHeight="1" x14ac:dyDescent="0.25">
      <c r="A562" s="2" t="s">
        <v>15</v>
      </c>
      <c r="B562" s="2" t="s">
        <v>7</v>
      </c>
      <c r="C562" s="2" t="s">
        <v>80</v>
      </c>
      <c r="D562" s="2" t="s">
        <v>37</v>
      </c>
      <c r="E562" s="2" t="s">
        <v>640</v>
      </c>
      <c r="F562" s="2" t="s">
        <v>603</v>
      </c>
      <c r="G562" s="2" t="s">
        <v>78</v>
      </c>
      <c r="H562" s="2" t="s">
        <v>10</v>
      </c>
      <c r="I562" s="2" t="s">
        <v>34</v>
      </c>
      <c r="J562" s="2" t="s">
        <v>84</v>
      </c>
      <c r="K562" s="3">
        <v>37.26</v>
      </c>
      <c r="L562" s="3">
        <v>4.07</v>
      </c>
    </row>
    <row r="563" spans="1:12" ht="20.100000000000001" customHeight="1" x14ac:dyDescent="0.25">
      <c r="A563" s="2" t="s">
        <v>15</v>
      </c>
      <c r="B563" s="2" t="s">
        <v>5</v>
      </c>
      <c r="C563" s="2" t="s">
        <v>339</v>
      </c>
      <c r="D563" s="2" t="s">
        <v>118</v>
      </c>
      <c r="E563" s="2" t="s">
        <v>641</v>
      </c>
      <c r="F563" s="2" t="s">
        <v>642</v>
      </c>
      <c r="G563" s="2" t="s">
        <v>33</v>
      </c>
      <c r="H563" s="2" t="s">
        <v>10</v>
      </c>
      <c r="I563" s="2" t="s">
        <v>34</v>
      </c>
      <c r="J563" s="2" t="s">
        <v>58</v>
      </c>
      <c r="K563" s="3">
        <v>36.65</v>
      </c>
      <c r="L563" s="3">
        <v>1.47</v>
      </c>
    </row>
    <row r="564" spans="1:12" ht="20.100000000000001" customHeight="1" x14ac:dyDescent="0.25">
      <c r="A564" s="2" t="s">
        <v>15</v>
      </c>
      <c r="B564" s="2" t="s">
        <v>5</v>
      </c>
      <c r="C564" s="2" t="s">
        <v>80</v>
      </c>
      <c r="D564" s="2" t="s">
        <v>37</v>
      </c>
      <c r="E564" s="2" t="s">
        <v>643</v>
      </c>
      <c r="F564" s="2" t="s">
        <v>82</v>
      </c>
      <c r="G564" s="2" t="s">
        <v>83</v>
      </c>
      <c r="H564" s="2" t="s">
        <v>10</v>
      </c>
      <c r="I564" s="2" t="s">
        <v>34</v>
      </c>
      <c r="J564" s="2" t="s">
        <v>84</v>
      </c>
      <c r="K564" s="3">
        <v>36.450000000000003</v>
      </c>
      <c r="L564" s="3">
        <v>3.97</v>
      </c>
    </row>
    <row r="565" spans="1:12" ht="20.100000000000001" customHeight="1" x14ac:dyDescent="0.25">
      <c r="A565" s="2" t="s">
        <v>15</v>
      </c>
      <c r="B565" s="2" t="s">
        <v>3</v>
      </c>
      <c r="C565" s="2" t="s">
        <v>80</v>
      </c>
      <c r="D565" s="2" t="s">
        <v>37</v>
      </c>
      <c r="E565" s="2" t="s">
        <v>643</v>
      </c>
      <c r="F565" s="2" t="s">
        <v>82</v>
      </c>
      <c r="G565" s="2" t="s">
        <v>83</v>
      </c>
      <c r="H565" s="2" t="s">
        <v>10</v>
      </c>
      <c r="I565" s="2" t="s">
        <v>34</v>
      </c>
      <c r="J565" s="2" t="s">
        <v>84</v>
      </c>
      <c r="K565" s="3">
        <v>36.450000000000003</v>
      </c>
      <c r="L565" s="3">
        <v>3.97</v>
      </c>
    </row>
    <row r="566" spans="1:12" ht="20.100000000000001" customHeight="1" x14ac:dyDescent="0.25">
      <c r="A566" s="2" t="s">
        <v>15</v>
      </c>
      <c r="B566" s="2" t="s">
        <v>5</v>
      </c>
      <c r="C566" s="2" t="s">
        <v>339</v>
      </c>
      <c r="D566" s="2" t="s">
        <v>118</v>
      </c>
      <c r="E566" s="2" t="s">
        <v>644</v>
      </c>
      <c r="F566" s="2" t="s">
        <v>527</v>
      </c>
      <c r="G566" s="2" t="s">
        <v>33</v>
      </c>
      <c r="H566" s="2" t="s">
        <v>10</v>
      </c>
      <c r="I566" s="2" t="s">
        <v>34</v>
      </c>
      <c r="J566" s="2" t="s">
        <v>58</v>
      </c>
      <c r="K566" s="3">
        <v>36</v>
      </c>
      <c r="L566" s="3">
        <v>1.44</v>
      </c>
    </row>
    <row r="567" spans="1:12" ht="20.100000000000001" customHeight="1" x14ac:dyDescent="0.25">
      <c r="A567" s="2" t="s">
        <v>15</v>
      </c>
      <c r="B567" s="2" t="s">
        <v>5</v>
      </c>
      <c r="C567" s="2" t="s">
        <v>339</v>
      </c>
      <c r="D567" s="2" t="s">
        <v>118</v>
      </c>
      <c r="E567" s="2" t="s">
        <v>645</v>
      </c>
      <c r="F567" s="2" t="s">
        <v>527</v>
      </c>
      <c r="G567" s="2" t="s">
        <v>33</v>
      </c>
      <c r="H567" s="2" t="s">
        <v>10</v>
      </c>
      <c r="I567" s="2" t="s">
        <v>34</v>
      </c>
      <c r="J567" s="2" t="s">
        <v>58</v>
      </c>
      <c r="K567" s="3">
        <v>36</v>
      </c>
      <c r="L567" s="3">
        <v>1.44</v>
      </c>
    </row>
    <row r="568" spans="1:12" ht="20.100000000000001" customHeight="1" x14ac:dyDescent="0.25">
      <c r="A568" s="2" t="s">
        <v>15</v>
      </c>
      <c r="B568" s="2" t="s">
        <v>7</v>
      </c>
      <c r="C568" s="2" t="s">
        <v>100</v>
      </c>
      <c r="D568" s="2" t="s">
        <v>37</v>
      </c>
      <c r="E568" s="2" t="s">
        <v>646</v>
      </c>
      <c r="F568" s="2" t="s">
        <v>536</v>
      </c>
      <c r="G568" s="2" t="s">
        <v>83</v>
      </c>
      <c r="H568" s="2" t="s">
        <v>10</v>
      </c>
      <c r="I568" s="2" t="s">
        <v>34</v>
      </c>
      <c r="J568" s="2" t="s">
        <v>237</v>
      </c>
      <c r="K568" s="3">
        <v>34.21</v>
      </c>
      <c r="L568" s="3">
        <v>3.73</v>
      </c>
    </row>
    <row r="569" spans="1:12" ht="20.100000000000001" customHeight="1" x14ac:dyDescent="0.25">
      <c r="A569" s="2" t="s">
        <v>15</v>
      </c>
      <c r="B569" s="2" t="s">
        <v>5</v>
      </c>
      <c r="C569" s="2" t="s">
        <v>100</v>
      </c>
      <c r="D569" s="2" t="s">
        <v>37</v>
      </c>
      <c r="E569" s="2" t="s">
        <v>646</v>
      </c>
      <c r="F569" s="2" t="s">
        <v>536</v>
      </c>
      <c r="G569" s="2" t="s">
        <v>83</v>
      </c>
      <c r="H569" s="2" t="s">
        <v>10</v>
      </c>
      <c r="I569" s="2" t="s">
        <v>34</v>
      </c>
      <c r="J569" s="2" t="s">
        <v>237</v>
      </c>
      <c r="K569" s="3">
        <v>34.21</v>
      </c>
      <c r="L569" s="3">
        <v>3.73</v>
      </c>
    </row>
    <row r="570" spans="1:12" ht="20.100000000000001" customHeight="1" x14ac:dyDescent="0.25">
      <c r="A570" s="2" t="s">
        <v>15</v>
      </c>
      <c r="B570" s="2" t="s">
        <v>3</v>
      </c>
      <c r="C570" s="2" t="s">
        <v>80</v>
      </c>
      <c r="D570" s="2" t="s">
        <v>37</v>
      </c>
      <c r="E570" s="2" t="s">
        <v>647</v>
      </c>
      <c r="F570" s="2" t="s">
        <v>603</v>
      </c>
      <c r="G570" s="2" t="s">
        <v>78</v>
      </c>
      <c r="H570" s="2" t="s">
        <v>10</v>
      </c>
      <c r="I570" s="2" t="s">
        <v>34</v>
      </c>
      <c r="J570" s="2" t="s">
        <v>84</v>
      </c>
      <c r="K570" s="3">
        <v>34.11</v>
      </c>
      <c r="L570" s="3">
        <v>3.72</v>
      </c>
    </row>
    <row r="571" spans="1:12" ht="20.100000000000001" customHeight="1" x14ac:dyDescent="0.25">
      <c r="A571" s="2" t="s">
        <v>15</v>
      </c>
      <c r="B571" s="2" t="s">
        <v>5</v>
      </c>
      <c r="C571" s="2" t="s">
        <v>66</v>
      </c>
      <c r="D571" s="2" t="s">
        <v>63</v>
      </c>
      <c r="E571" s="2" t="s">
        <v>648</v>
      </c>
      <c r="F571" s="2" t="s">
        <v>65</v>
      </c>
      <c r="G571" s="2" t="s">
        <v>45</v>
      </c>
      <c r="H571" s="2" t="s">
        <v>10</v>
      </c>
      <c r="I571" s="2" t="s">
        <v>34</v>
      </c>
      <c r="J571" s="2" t="s">
        <v>41</v>
      </c>
      <c r="K571" s="3">
        <v>33.6</v>
      </c>
      <c r="L571" s="3">
        <v>4.03</v>
      </c>
    </row>
    <row r="572" spans="1:12" ht="20.100000000000001" customHeight="1" x14ac:dyDescent="0.25">
      <c r="A572" s="2" t="s">
        <v>15</v>
      </c>
      <c r="B572" s="2" t="s">
        <v>7</v>
      </c>
      <c r="C572" s="2" t="s">
        <v>80</v>
      </c>
      <c r="D572" s="2" t="s">
        <v>37</v>
      </c>
      <c r="E572" s="2" t="s">
        <v>602</v>
      </c>
      <c r="F572" s="2" t="s">
        <v>603</v>
      </c>
      <c r="G572" s="2" t="s">
        <v>78</v>
      </c>
      <c r="H572" s="2" t="s">
        <v>10</v>
      </c>
      <c r="I572" s="2" t="s">
        <v>34</v>
      </c>
      <c r="J572" s="2" t="s">
        <v>84</v>
      </c>
      <c r="K572" s="3">
        <v>33.479999999999997</v>
      </c>
      <c r="L572" s="3">
        <v>3.65</v>
      </c>
    </row>
    <row r="573" spans="1:12" ht="20.100000000000001" customHeight="1" x14ac:dyDescent="0.25">
      <c r="A573" s="2" t="s">
        <v>15</v>
      </c>
      <c r="B573" s="2" t="s">
        <v>3</v>
      </c>
      <c r="C573" s="2" t="s">
        <v>100</v>
      </c>
      <c r="D573" s="2" t="s">
        <v>37</v>
      </c>
      <c r="E573" s="2" t="s">
        <v>649</v>
      </c>
      <c r="F573" s="2" t="s">
        <v>598</v>
      </c>
      <c r="G573" s="2" t="s">
        <v>83</v>
      </c>
      <c r="H573" s="2" t="s">
        <v>10</v>
      </c>
      <c r="I573" s="2" t="s">
        <v>34</v>
      </c>
      <c r="J573" s="2" t="s">
        <v>58</v>
      </c>
      <c r="K573" s="3">
        <v>33.299999999999997</v>
      </c>
      <c r="L573" s="3">
        <v>3.63</v>
      </c>
    </row>
    <row r="574" spans="1:12" ht="20.100000000000001" customHeight="1" x14ac:dyDescent="0.25">
      <c r="A574" s="2" t="s">
        <v>15</v>
      </c>
      <c r="B574" s="2" t="s">
        <v>2</v>
      </c>
      <c r="C574" s="2" t="s">
        <v>100</v>
      </c>
      <c r="D574" s="2" t="s">
        <v>37</v>
      </c>
      <c r="E574" s="2" t="s">
        <v>650</v>
      </c>
      <c r="F574" s="2" t="s">
        <v>384</v>
      </c>
      <c r="G574" s="2" t="s">
        <v>83</v>
      </c>
      <c r="H574" s="2" t="s">
        <v>10</v>
      </c>
      <c r="I574" s="2" t="s">
        <v>34</v>
      </c>
      <c r="J574" s="2" t="s">
        <v>237</v>
      </c>
      <c r="K574" s="3">
        <v>33.200000000000003</v>
      </c>
      <c r="L574" s="3">
        <v>3.62</v>
      </c>
    </row>
    <row r="575" spans="1:12" ht="20.100000000000001" customHeight="1" x14ac:dyDescent="0.25">
      <c r="A575" s="2" t="s">
        <v>15</v>
      </c>
      <c r="B575" s="2" t="s">
        <v>7</v>
      </c>
      <c r="C575" s="2" t="s">
        <v>100</v>
      </c>
      <c r="D575" s="2" t="s">
        <v>37</v>
      </c>
      <c r="E575" s="2" t="s">
        <v>651</v>
      </c>
      <c r="F575" s="2" t="s">
        <v>652</v>
      </c>
      <c r="G575" s="2" t="s">
        <v>83</v>
      </c>
      <c r="H575" s="2" t="s">
        <v>10</v>
      </c>
      <c r="I575" s="2" t="s">
        <v>34</v>
      </c>
      <c r="J575" s="2" t="s">
        <v>58</v>
      </c>
      <c r="K575" s="3">
        <v>33</v>
      </c>
      <c r="L575" s="3">
        <v>3.6</v>
      </c>
    </row>
    <row r="576" spans="1:12" ht="20.100000000000001" customHeight="1" x14ac:dyDescent="0.25">
      <c r="A576" s="2" t="s">
        <v>15</v>
      </c>
      <c r="B576" s="2" t="s">
        <v>3</v>
      </c>
      <c r="C576" s="2" t="s">
        <v>80</v>
      </c>
      <c r="D576" s="2" t="s">
        <v>37</v>
      </c>
      <c r="E576" s="2" t="s">
        <v>653</v>
      </c>
      <c r="F576" s="2" t="s">
        <v>603</v>
      </c>
      <c r="G576" s="2" t="s">
        <v>78</v>
      </c>
      <c r="H576" s="2" t="s">
        <v>10</v>
      </c>
      <c r="I576" s="2" t="s">
        <v>34</v>
      </c>
      <c r="J576" s="2" t="s">
        <v>84</v>
      </c>
      <c r="K576" s="3">
        <v>32.94</v>
      </c>
      <c r="L576" s="3">
        <v>3.59</v>
      </c>
    </row>
    <row r="577" spans="1:12" ht="20.100000000000001" customHeight="1" x14ac:dyDescent="0.25">
      <c r="A577" s="2" t="s">
        <v>15</v>
      </c>
      <c r="B577" s="2" t="s">
        <v>5</v>
      </c>
      <c r="C577" s="2" t="s">
        <v>339</v>
      </c>
      <c r="D577" s="2" t="s">
        <v>118</v>
      </c>
      <c r="E577" s="2" t="s">
        <v>654</v>
      </c>
      <c r="F577" s="2" t="s">
        <v>642</v>
      </c>
      <c r="G577" s="2" t="s">
        <v>33</v>
      </c>
      <c r="H577" s="2" t="s">
        <v>10</v>
      </c>
      <c r="I577" s="2" t="s">
        <v>34</v>
      </c>
      <c r="J577" s="2" t="s">
        <v>58</v>
      </c>
      <c r="K577" s="3">
        <v>32.92</v>
      </c>
      <c r="L577" s="3">
        <v>1.32</v>
      </c>
    </row>
    <row r="578" spans="1:12" ht="20.100000000000001" customHeight="1" x14ac:dyDescent="0.25">
      <c r="A578" s="2" t="s">
        <v>15</v>
      </c>
      <c r="B578" s="2" t="s">
        <v>5</v>
      </c>
      <c r="C578" s="2" t="s">
        <v>238</v>
      </c>
      <c r="D578" s="2" t="s">
        <v>30</v>
      </c>
      <c r="E578" s="2" t="s">
        <v>655</v>
      </c>
      <c r="F578" s="2" t="s">
        <v>369</v>
      </c>
      <c r="G578" s="2" t="s">
        <v>120</v>
      </c>
      <c r="H578" s="2" t="s">
        <v>10</v>
      </c>
      <c r="I578" s="2" t="s">
        <v>34</v>
      </c>
      <c r="J578" s="2" t="s">
        <v>237</v>
      </c>
      <c r="K578" s="3">
        <v>32.82</v>
      </c>
      <c r="L578" s="3">
        <v>1.31</v>
      </c>
    </row>
    <row r="579" spans="1:12" ht="20.100000000000001" customHeight="1" x14ac:dyDescent="0.25">
      <c r="A579" s="2" t="s">
        <v>15</v>
      </c>
      <c r="B579" s="2" t="s">
        <v>5</v>
      </c>
      <c r="C579" s="2" t="s">
        <v>339</v>
      </c>
      <c r="D579" s="2" t="s">
        <v>118</v>
      </c>
      <c r="E579" s="2" t="s">
        <v>656</v>
      </c>
      <c r="F579" s="2" t="s">
        <v>527</v>
      </c>
      <c r="G579" s="2" t="s">
        <v>33</v>
      </c>
      <c r="H579" s="2" t="s">
        <v>10</v>
      </c>
      <c r="I579" s="2" t="s">
        <v>34</v>
      </c>
      <c r="J579" s="2" t="s">
        <v>58</v>
      </c>
      <c r="K579" s="3">
        <v>32.4</v>
      </c>
      <c r="L579" s="3">
        <v>1.3</v>
      </c>
    </row>
    <row r="580" spans="1:12" ht="20.100000000000001" customHeight="1" x14ac:dyDescent="0.25">
      <c r="A580" s="2" t="s">
        <v>15</v>
      </c>
      <c r="B580" s="2" t="s">
        <v>5</v>
      </c>
      <c r="C580" s="2" t="s">
        <v>339</v>
      </c>
      <c r="D580" s="2" t="s">
        <v>118</v>
      </c>
      <c r="E580" s="2" t="s">
        <v>657</v>
      </c>
      <c r="F580" s="2" t="s">
        <v>527</v>
      </c>
      <c r="G580" s="2" t="s">
        <v>33</v>
      </c>
      <c r="H580" s="2" t="s">
        <v>10</v>
      </c>
      <c r="I580" s="2" t="s">
        <v>34</v>
      </c>
      <c r="J580" s="2" t="s">
        <v>58</v>
      </c>
      <c r="K580" s="3">
        <v>32.4</v>
      </c>
      <c r="L580" s="3">
        <v>1.3</v>
      </c>
    </row>
    <row r="581" spans="1:12" ht="20.100000000000001" customHeight="1" x14ac:dyDescent="0.25">
      <c r="A581" s="2" t="s">
        <v>15</v>
      </c>
      <c r="B581" s="2" t="s">
        <v>5</v>
      </c>
      <c r="C581" s="2" t="s">
        <v>339</v>
      </c>
      <c r="D581" s="2" t="s">
        <v>118</v>
      </c>
      <c r="E581" s="2" t="s">
        <v>658</v>
      </c>
      <c r="F581" s="2" t="s">
        <v>527</v>
      </c>
      <c r="G581" s="2" t="s">
        <v>33</v>
      </c>
      <c r="H581" s="2" t="s">
        <v>10</v>
      </c>
      <c r="I581" s="2" t="s">
        <v>34</v>
      </c>
      <c r="J581" s="2" t="s">
        <v>58</v>
      </c>
      <c r="K581" s="3">
        <v>32.4</v>
      </c>
      <c r="L581" s="3">
        <v>1.3</v>
      </c>
    </row>
    <row r="582" spans="1:12" ht="20.100000000000001" customHeight="1" x14ac:dyDescent="0.25">
      <c r="A582" s="2" t="s">
        <v>15</v>
      </c>
      <c r="B582" s="2" t="s">
        <v>5</v>
      </c>
      <c r="C582" s="2" t="s">
        <v>339</v>
      </c>
      <c r="D582" s="2" t="s">
        <v>118</v>
      </c>
      <c r="E582" s="2" t="s">
        <v>659</v>
      </c>
      <c r="F582" s="2" t="s">
        <v>443</v>
      </c>
      <c r="G582" s="2" t="s">
        <v>33</v>
      </c>
      <c r="H582" s="2" t="s">
        <v>10</v>
      </c>
      <c r="I582" s="2" t="s">
        <v>34</v>
      </c>
      <c r="J582" s="2" t="s">
        <v>237</v>
      </c>
      <c r="K582" s="3">
        <v>32.36</v>
      </c>
      <c r="L582" s="3">
        <v>1.29</v>
      </c>
    </row>
    <row r="583" spans="1:12" ht="20.100000000000001" customHeight="1" x14ac:dyDescent="0.25">
      <c r="A583" s="2" t="s">
        <v>15</v>
      </c>
      <c r="B583" s="2" t="s">
        <v>5</v>
      </c>
      <c r="C583" s="2" t="s">
        <v>339</v>
      </c>
      <c r="D583" s="2" t="s">
        <v>118</v>
      </c>
      <c r="E583" s="2" t="s">
        <v>660</v>
      </c>
      <c r="F583" s="2" t="s">
        <v>527</v>
      </c>
      <c r="G583" s="2" t="s">
        <v>33</v>
      </c>
      <c r="H583" s="2" t="s">
        <v>10</v>
      </c>
      <c r="I583" s="2" t="s">
        <v>34</v>
      </c>
      <c r="J583" s="2" t="s">
        <v>58</v>
      </c>
      <c r="K583" s="3">
        <v>31.2</v>
      </c>
      <c r="L583" s="3">
        <v>1.25</v>
      </c>
    </row>
    <row r="584" spans="1:12" ht="20.100000000000001" customHeight="1" x14ac:dyDescent="0.25">
      <c r="A584" s="2" t="s">
        <v>15</v>
      </c>
      <c r="B584" s="2" t="s">
        <v>2</v>
      </c>
      <c r="C584" s="2" t="s">
        <v>238</v>
      </c>
      <c r="D584" s="2" t="s">
        <v>30</v>
      </c>
      <c r="E584" s="2" t="s">
        <v>661</v>
      </c>
      <c r="F584" s="2" t="s">
        <v>462</v>
      </c>
      <c r="G584" s="2" t="s">
        <v>120</v>
      </c>
      <c r="H584" s="2" t="s">
        <v>10</v>
      </c>
      <c r="I584" s="2" t="s">
        <v>34</v>
      </c>
      <c r="J584" s="2" t="s">
        <v>58</v>
      </c>
      <c r="K584" s="3">
        <v>31.1</v>
      </c>
      <c r="L584" s="3">
        <v>1.24</v>
      </c>
    </row>
    <row r="585" spans="1:12" ht="20.100000000000001" customHeight="1" x14ac:dyDescent="0.25">
      <c r="A585" s="2" t="s">
        <v>15</v>
      </c>
      <c r="B585" s="2" t="s">
        <v>7</v>
      </c>
      <c r="C585" s="2" t="s">
        <v>80</v>
      </c>
      <c r="D585" s="2" t="s">
        <v>37</v>
      </c>
      <c r="E585" s="2" t="s">
        <v>662</v>
      </c>
      <c r="F585" s="2" t="s">
        <v>82</v>
      </c>
      <c r="G585" s="2" t="s">
        <v>83</v>
      </c>
      <c r="H585" s="2" t="s">
        <v>10</v>
      </c>
      <c r="I585" s="2" t="s">
        <v>34</v>
      </c>
      <c r="J585" s="2" t="s">
        <v>84</v>
      </c>
      <c r="K585" s="3">
        <v>30.87</v>
      </c>
      <c r="L585" s="3">
        <v>3.36</v>
      </c>
    </row>
    <row r="586" spans="1:12" ht="20.100000000000001" customHeight="1" x14ac:dyDescent="0.25">
      <c r="A586" s="2" t="s">
        <v>15</v>
      </c>
      <c r="B586" s="2" t="s">
        <v>3</v>
      </c>
      <c r="C586" s="2" t="s">
        <v>100</v>
      </c>
      <c r="D586" s="2" t="s">
        <v>37</v>
      </c>
      <c r="E586" s="2" t="s">
        <v>663</v>
      </c>
      <c r="F586" s="2" t="s">
        <v>443</v>
      </c>
      <c r="G586" s="2" t="s">
        <v>83</v>
      </c>
      <c r="H586" s="2" t="s">
        <v>10</v>
      </c>
      <c r="I586" s="2" t="s">
        <v>34</v>
      </c>
      <c r="J586" s="2" t="s">
        <v>237</v>
      </c>
      <c r="K586" s="3">
        <v>30.25</v>
      </c>
      <c r="L586" s="3">
        <v>3.3</v>
      </c>
    </row>
    <row r="587" spans="1:12" ht="20.100000000000001" customHeight="1" x14ac:dyDescent="0.25">
      <c r="A587" s="2" t="s">
        <v>15</v>
      </c>
      <c r="B587" s="2" t="s">
        <v>2</v>
      </c>
      <c r="C587" s="2" t="s">
        <v>100</v>
      </c>
      <c r="D587" s="2" t="s">
        <v>37</v>
      </c>
      <c r="E587" s="2" t="s">
        <v>663</v>
      </c>
      <c r="F587" s="2" t="s">
        <v>443</v>
      </c>
      <c r="G587" s="2" t="s">
        <v>83</v>
      </c>
      <c r="H587" s="2" t="s">
        <v>10</v>
      </c>
      <c r="I587" s="2" t="s">
        <v>34</v>
      </c>
      <c r="J587" s="2" t="s">
        <v>237</v>
      </c>
      <c r="K587" s="3">
        <v>30.25</v>
      </c>
      <c r="L587" s="3">
        <v>3.3</v>
      </c>
    </row>
    <row r="588" spans="1:12" ht="20.100000000000001" customHeight="1" x14ac:dyDescent="0.25">
      <c r="A588" s="2" t="s">
        <v>15</v>
      </c>
      <c r="B588" s="2" t="s">
        <v>5</v>
      </c>
      <c r="C588" s="2" t="s">
        <v>339</v>
      </c>
      <c r="D588" s="2" t="s">
        <v>118</v>
      </c>
      <c r="E588" s="2" t="s">
        <v>664</v>
      </c>
      <c r="F588" s="2" t="s">
        <v>497</v>
      </c>
      <c r="G588" s="2" t="s">
        <v>33</v>
      </c>
      <c r="H588" s="2" t="s">
        <v>10</v>
      </c>
      <c r="I588" s="2" t="s">
        <v>34</v>
      </c>
      <c r="J588" s="2" t="s">
        <v>58</v>
      </c>
      <c r="K588" s="3">
        <v>29.03</v>
      </c>
      <c r="L588" s="3">
        <v>1.1599999999999999</v>
      </c>
    </row>
    <row r="589" spans="1:12" ht="20.100000000000001" customHeight="1" x14ac:dyDescent="0.25">
      <c r="A589" s="2" t="s">
        <v>15</v>
      </c>
      <c r="B589" s="2" t="s">
        <v>6</v>
      </c>
      <c r="C589" s="2" t="s">
        <v>117</v>
      </c>
      <c r="D589" s="2" t="s">
        <v>118</v>
      </c>
      <c r="E589" s="2" t="s">
        <v>665</v>
      </c>
      <c r="F589" s="2" t="s">
        <v>544</v>
      </c>
      <c r="G589" s="2" t="s">
        <v>33</v>
      </c>
      <c r="H589" s="2" t="s">
        <v>10</v>
      </c>
      <c r="I589" s="2" t="s">
        <v>34</v>
      </c>
      <c r="J589" s="2" t="s">
        <v>58</v>
      </c>
      <c r="K589" s="3">
        <v>28.98</v>
      </c>
      <c r="L589" s="3">
        <v>3.48</v>
      </c>
    </row>
    <row r="590" spans="1:12" ht="20.100000000000001" customHeight="1" x14ac:dyDescent="0.25">
      <c r="A590" s="2" t="s">
        <v>15</v>
      </c>
      <c r="B590" s="2" t="s">
        <v>6</v>
      </c>
      <c r="C590" s="2" t="s">
        <v>117</v>
      </c>
      <c r="D590" s="2" t="s">
        <v>118</v>
      </c>
      <c r="E590" s="2" t="s">
        <v>666</v>
      </c>
      <c r="F590" s="2" t="s">
        <v>544</v>
      </c>
      <c r="G590" s="2" t="s">
        <v>33</v>
      </c>
      <c r="H590" s="2" t="s">
        <v>10</v>
      </c>
      <c r="I590" s="2" t="s">
        <v>34</v>
      </c>
      <c r="J590" s="2" t="s">
        <v>58</v>
      </c>
      <c r="K590" s="3">
        <v>28.98</v>
      </c>
      <c r="L590" s="3">
        <v>3.48</v>
      </c>
    </row>
    <row r="591" spans="1:12" ht="20.100000000000001" customHeight="1" x14ac:dyDescent="0.25">
      <c r="A591" s="2" t="s">
        <v>15</v>
      </c>
      <c r="B591" s="2" t="s">
        <v>6</v>
      </c>
      <c r="C591" s="2" t="s">
        <v>117</v>
      </c>
      <c r="D591" s="2" t="s">
        <v>118</v>
      </c>
      <c r="E591" s="2" t="s">
        <v>667</v>
      </c>
      <c r="F591" s="2" t="s">
        <v>544</v>
      </c>
      <c r="G591" s="2" t="s">
        <v>33</v>
      </c>
      <c r="H591" s="2" t="s">
        <v>10</v>
      </c>
      <c r="I591" s="2" t="s">
        <v>34</v>
      </c>
      <c r="J591" s="2" t="s">
        <v>58</v>
      </c>
      <c r="K591" s="3">
        <v>28.98</v>
      </c>
      <c r="L591" s="3">
        <v>3.48</v>
      </c>
    </row>
    <row r="592" spans="1:12" ht="20.100000000000001" customHeight="1" x14ac:dyDescent="0.25">
      <c r="A592" s="2" t="s">
        <v>15</v>
      </c>
      <c r="B592" s="2" t="s">
        <v>6</v>
      </c>
      <c r="C592" s="2" t="s">
        <v>117</v>
      </c>
      <c r="D592" s="2" t="s">
        <v>118</v>
      </c>
      <c r="E592" s="2" t="s">
        <v>668</v>
      </c>
      <c r="F592" s="2" t="s">
        <v>544</v>
      </c>
      <c r="G592" s="2" t="s">
        <v>33</v>
      </c>
      <c r="H592" s="2" t="s">
        <v>10</v>
      </c>
      <c r="I592" s="2" t="s">
        <v>34</v>
      </c>
      <c r="J592" s="2" t="s">
        <v>58</v>
      </c>
      <c r="K592" s="3">
        <v>28.98</v>
      </c>
      <c r="L592" s="3">
        <v>3.48</v>
      </c>
    </row>
    <row r="593" spans="1:12" ht="20.100000000000001" customHeight="1" x14ac:dyDescent="0.25">
      <c r="A593" s="2" t="s">
        <v>15</v>
      </c>
      <c r="B593" s="2" t="s">
        <v>7</v>
      </c>
      <c r="C593" s="2" t="s">
        <v>100</v>
      </c>
      <c r="D593" s="2" t="s">
        <v>37</v>
      </c>
      <c r="E593" s="2" t="s">
        <v>669</v>
      </c>
      <c r="F593" s="2" t="s">
        <v>670</v>
      </c>
      <c r="G593" s="2" t="s">
        <v>78</v>
      </c>
      <c r="H593" s="2" t="s">
        <v>10</v>
      </c>
      <c r="I593" s="2" t="s">
        <v>34</v>
      </c>
      <c r="J593" s="2" t="s">
        <v>58</v>
      </c>
      <c r="K593" s="3">
        <v>28.29</v>
      </c>
      <c r="L593" s="3">
        <v>3.09</v>
      </c>
    </row>
    <row r="594" spans="1:12" ht="20.100000000000001" customHeight="1" x14ac:dyDescent="0.25">
      <c r="A594" s="2" t="s">
        <v>9</v>
      </c>
      <c r="B594" s="2" t="s">
        <v>5</v>
      </c>
      <c r="C594" s="2" t="s">
        <v>423</v>
      </c>
      <c r="D594" s="2" t="s">
        <v>37</v>
      </c>
      <c r="E594" s="2" t="s">
        <v>671</v>
      </c>
      <c r="F594" s="2" t="s">
        <v>672</v>
      </c>
      <c r="G594" s="2" t="s">
        <v>78</v>
      </c>
      <c r="H594" s="2" t="s">
        <v>10</v>
      </c>
      <c r="I594" s="2" t="s">
        <v>34</v>
      </c>
      <c r="J594" s="2" t="s">
        <v>267</v>
      </c>
      <c r="K594" s="3">
        <v>28.25</v>
      </c>
      <c r="L594" s="3">
        <v>5.64</v>
      </c>
    </row>
    <row r="595" spans="1:12" ht="20.100000000000001" customHeight="1" x14ac:dyDescent="0.25">
      <c r="A595" s="2" t="s">
        <v>15</v>
      </c>
      <c r="B595" s="2" t="s">
        <v>7</v>
      </c>
      <c r="C595" s="2" t="s">
        <v>100</v>
      </c>
      <c r="D595" s="2" t="s">
        <v>37</v>
      </c>
      <c r="E595" s="2" t="s">
        <v>673</v>
      </c>
      <c r="F595" s="2" t="s">
        <v>652</v>
      </c>
      <c r="G595" s="2" t="s">
        <v>83</v>
      </c>
      <c r="H595" s="2" t="s">
        <v>10</v>
      </c>
      <c r="I595" s="2" t="s">
        <v>34</v>
      </c>
      <c r="J595" s="2" t="s">
        <v>58</v>
      </c>
      <c r="K595" s="3">
        <v>28.2</v>
      </c>
      <c r="L595" s="3">
        <v>3.08</v>
      </c>
    </row>
    <row r="596" spans="1:12" ht="20.100000000000001" customHeight="1" x14ac:dyDescent="0.25">
      <c r="A596" s="2" t="s">
        <v>15</v>
      </c>
      <c r="B596" s="2" t="s">
        <v>7</v>
      </c>
      <c r="C596" s="2" t="s">
        <v>80</v>
      </c>
      <c r="D596" s="2" t="s">
        <v>37</v>
      </c>
      <c r="E596" s="2" t="s">
        <v>674</v>
      </c>
      <c r="F596" s="2" t="s">
        <v>603</v>
      </c>
      <c r="G596" s="2" t="s">
        <v>78</v>
      </c>
      <c r="H596" s="2" t="s">
        <v>10</v>
      </c>
      <c r="I596" s="2" t="s">
        <v>34</v>
      </c>
      <c r="J596" s="2" t="s">
        <v>84</v>
      </c>
      <c r="K596" s="3">
        <v>28.08</v>
      </c>
      <c r="L596" s="3">
        <v>3.06</v>
      </c>
    </row>
    <row r="597" spans="1:12" ht="20.100000000000001" customHeight="1" x14ac:dyDescent="0.25">
      <c r="A597" s="2" t="s">
        <v>15</v>
      </c>
      <c r="B597" s="2" t="s">
        <v>3</v>
      </c>
      <c r="C597" s="2" t="s">
        <v>80</v>
      </c>
      <c r="D597" s="2" t="s">
        <v>37</v>
      </c>
      <c r="E597" s="2" t="s">
        <v>674</v>
      </c>
      <c r="F597" s="2" t="s">
        <v>603</v>
      </c>
      <c r="G597" s="2" t="s">
        <v>78</v>
      </c>
      <c r="H597" s="2" t="s">
        <v>10</v>
      </c>
      <c r="I597" s="2" t="s">
        <v>34</v>
      </c>
      <c r="J597" s="2" t="s">
        <v>84</v>
      </c>
      <c r="K597" s="3">
        <v>28.08</v>
      </c>
      <c r="L597" s="3">
        <v>3.06</v>
      </c>
    </row>
    <row r="598" spans="1:12" ht="20.100000000000001" customHeight="1" x14ac:dyDescent="0.25">
      <c r="A598" s="2" t="s">
        <v>15</v>
      </c>
      <c r="B598" s="2" t="s">
        <v>5</v>
      </c>
      <c r="C598" s="2" t="s">
        <v>100</v>
      </c>
      <c r="D598" s="2" t="s">
        <v>37</v>
      </c>
      <c r="E598" s="2" t="s">
        <v>675</v>
      </c>
      <c r="F598" s="2" t="s">
        <v>618</v>
      </c>
      <c r="G598" s="2" t="s">
        <v>83</v>
      </c>
      <c r="H598" s="2" t="s">
        <v>10</v>
      </c>
      <c r="I598" s="2" t="s">
        <v>34</v>
      </c>
      <c r="J598" s="2" t="s">
        <v>58</v>
      </c>
      <c r="K598" s="3">
        <v>27.52</v>
      </c>
      <c r="L598" s="3">
        <v>3</v>
      </c>
    </row>
    <row r="599" spans="1:12" ht="20.100000000000001" customHeight="1" x14ac:dyDescent="0.25">
      <c r="A599" s="2" t="s">
        <v>15</v>
      </c>
      <c r="B599" s="2" t="s">
        <v>4</v>
      </c>
      <c r="C599" s="2" t="s">
        <v>93</v>
      </c>
      <c r="D599" s="2" t="s">
        <v>63</v>
      </c>
      <c r="E599" s="2" t="s">
        <v>676</v>
      </c>
      <c r="F599" s="2" t="s">
        <v>65</v>
      </c>
      <c r="G599" s="2" t="s">
        <v>45</v>
      </c>
      <c r="H599" s="2" t="s">
        <v>10</v>
      </c>
      <c r="I599" s="2" t="s">
        <v>34</v>
      </c>
      <c r="J599" s="2" t="s">
        <v>41</v>
      </c>
      <c r="K599" s="3">
        <v>27</v>
      </c>
      <c r="L599" s="3">
        <v>0</v>
      </c>
    </row>
    <row r="600" spans="1:12" ht="20.100000000000001" customHeight="1" x14ac:dyDescent="0.25">
      <c r="A600" s="2" t="s">
        <v>15</v>
      </c>
      <c r="B600" s="2" t="s">
        <v>3</v>
      </c>
      <c r="C600" s="2" t="s">
        <v>80</v>
      </c>
      <c r="D600" s="2" t="s">
        <v>37</v>
      </c>
      <c r="E600" s="2" t="s">
        <v>677</v>
      </c>
      <c r="F600" s="2" t="s">
        <v>603</v>
      </c>
      <c r="G600" s="2" t="s">
        <v>78</v>
      </c>
      <c r="H600" s="2" t="s">
        <v>10</v>
      </c>
      <c r="I600" s="2" t="s">
        <v>34</v>
      </c>
      <c r="J600" s="2" t="s">
        <v>84</v>
      </c>
      <c r="K600" s="3">
        <v>26.19</v>
      </c>
      <c r="L600" s="3">
        <v>2.85</v>
      </c>
    </row>
    <row r="601" spans="1:12" ht="20.100000000000001" customHeight="1" x14ac:dyDescent="0.25">
      <c r="A601" s="2" t="s">
        <v>15</v>
      </c>
      <c r="B601" s="2" t="s">
        <v>7</v>
      </c>
      <c r="C601" s="2" t="s">
        <v>80</v>
      </c>
      <c r="D601" s="2" t="s">
        <v>37</v>
      </c>
      <c r="E601" s="2" t="s">
        <v>678</v>
      </c>
      <c r="F601" s="2" t="s">
        <v>603</v>
      </c>
      <c r="G601" s="2" t="s">
        <v>78</v>
      </c>
      <c r="H601" s="2" t="s">
        <v>10</v>
      </c>
      <c r="I601" s="2" t="s">
        <v>34</v>
      </c>
      <c r="J601" s="2" t="s">
        <v>84</v>
      </c>
      <c r="K601" s="3">
        <v>25.74</v>
      </c>
      <c r="L601" s="3">
        <v>2.81</v>
      </c>
    </row>
    <row r="602" spans="1:12" ht="20.100000000000001" customHeight="1" x14ac:dyDescent="0.25">
      <c r="A602" s="2" t="s">
        <v>15</v>
      </c>
      <c r="B602" s="2" t="s">
        <v>5</v>
      </c>
      <c r="C602" s="2" t="s">
        <v>80</v>
      </c>
      <c r="D602" s="2" t="s">
        <v>37</v>
      </c>
      <c r="E602" s="2" t="s">
        <v>678</v>
      </c>
      <c r="F602" s="2" t="s">
        <v>603</v>
      </c>
      <c r="G602" s="2" t="s">
        <v>78</v>
      </c>
      <c r="H602" s="2" t="s">
        <v>10</v>
      </c>
      <c r="I602" s="2" t="s">
        <v>34</v>
      </c>
      <c r="J602" s="2" t="s">
        <v>84</v>
      </c>
      <c r="K602" s="3">
        <v>25.74</v>
      </c>
      <c r="L602" s="3">
        <v>2.8</v>
      </c>
    </row>
    <row r="603" spans="1:12" ht="20.100000000000001" customHeight="1" x14ac:dyDescent="0.25">
      <c r="A603" s="2" t="s">
        <v>15</v>
      </c>
      <c r="B603" s="2" t="s">
        <v>5</v>
      </c>
      <c r="C603" s="2" t="s">
        <v>339</v>
      </c>
      <c r="D603" s="2" t="s">
        <v>118</v>
      </c>
      <c r="E603" s="2" t="s">
        <v>679</v>
      </c>
      <c r="F603" s="2" t="s">
        <v>520</v>
      </c>
      <c r="G603" s="2" t="s">
        <v>33</v>
      </c>
      <c r="H603" s="2" t="s">
        <v>10</v>
      </c>
      <c r="I603" s="2" t="s">
        <v>34</v>
      </c>
      <c r="J603" s="2" t="s">
        <v>58</v>
      </c>
      <c r="K603" s="3">
        <v>25.68</v>
      </c>
      <c r="L603" s="3">
        <v>1.03</v>
      </c>
    </row>
    <row r="604" spans="1:12" ht="20.100000000000001" customHeight="1" x14ac:dyDescent="0.25">
      <c r="A604" s="2" t="s">
        <v>15</v>
      </c>
      <c r="B604" s="2" t="s">
        <v>6</v>
      </c>
      <c r="C604" s="2" t="s">
        <v>210</v>
      </c>
      <c r="D604" s="2" t="s">
        <v>134</v>
      </c>
      <c r="E604" s="2" t="s">
        <v>680</v>
      </c>
      <c r="F604" s="2" t="s">
        <v>681</v>
      </c>
      <c r="G604" s="2" t="s">
        <v>120</v>
      </c>
      <c r="H604" s="2" t="s">
        <v>10</v>
      </c>
      <c r="I604" s="2" t="s">
        <v>34</v>
      </c>
      <c r="J604" s="2" t="s">
        <v>58</v>
      </c>
      <c r="K604" s="3">
        <v>25.43</v>
      </c>
      <c r="L604" s="3">
        <v>3.06</v>
      </c>
    </row>
    <row r="605" spans="1:12" ht="20.100000000000001" customHeight="1" x14ac:dyDescent="0.25">
      <c r="A605" s="2" t="s">
        <v>15</v>
      </c>
      <c r="B605" s="2" t="s">
        <v>6</v>
      </c>
      <c r="C605" s="2" t="s">
        <v>210</v>
      </c>
      <c r="D605" s="2" t="s">
        <v>134</v>
      </c>
      <c r="E605" s="2" t="s">
        <v>682</v>
      </c>
      <c r="F605" s="2" t="s">
        <v>32</v>
      </c>
      <c r="G605" s="2" t="s">
        <v>120</v>
      </c>
      <c r="H605" s="2" t="s">
        <v>10</v>
      </c>
      <c r="I605" s="2" t="s">
        <v>34</v>
      </c>
      <c r="J605" s="2" t="s">
        <v>58</v>
      </c>
      <c r="K605" s="3">
        <v>25.21</v>
      </c>
      <c r="L605" s="3">
        <v>3.04</v>
      </c>
    </row>
    <row r="606" spans="1:12" ht="20.100000000000001" customHeight="1" x14ac:dyDescent="0.25">
      <c r="A606" s="2" t="s">
        <v>15</v>
      </c>
      <c r="B606" s="2" t="s">
        <v>5</v>
      </c>
      <c r="C606" s="2" t="s">
        <v>66</v>
      </c>
      <c r="D606" s="2" t="s">
        <v>63</v>
      </c>
      <c r="E606" s="2" t="s">
        <v>683</v>
      </c>
      <c r="F606" s="2" t="s">
        <v>65</v>
      </c>
      <c r="G606" s="2" t="s">
        <v>45</v>
      </c>
      <c r="H606" s="2" t="s">
        <v>10</v>
      </c>
      <c r="I606" s="2" t="s">
        <v>34</v>
      </c>
      <c r="J606" s="2" t="s">
        <v>41</v>
      </c>
      <c r="K606" s="3">
        <v>25.2</v>
      </c>
      <c r="L606" s="3">
        <v>3.02</v>
      </c>
    </row>
    <row r="607" spans="1:12" ht="20.100000000000001" customHeight="1" x14ac:dyDescent="0.25">
      <c r="A607" s="2" t="s">
        <v>15</v>
      </c>
      <c r="B607" s="2" t="s">
        <v>2</v>
      </c>
      <c r="C607" s="2" t="s">
        <v>66</v>
      </c>
      <c r="D607" s="2" t="s">
        <v>63</v>
      </c>
      <c r="E607" s="2" t="s">
        <v>683</v>
      </c>
      <c r="F607" s="2" t="s">
        <v>65</v>
      </c>
      <c r="G607" s="2" t="s">
        <v>45</v>
      </c>
      <c r="H607" s="2" t="s">
        <v>10</v>
      </c>
      <c r="I607" s="2" t="s">
        <v>34</v>
      </c>
      <c r="J607" s="2" t="s">
        <v>41</v>
      </c>
      <c r="K607" s="3">
        <v>25.2</v>
      </c>
      <c r="L607" s="3">
        <v>3.02</v>
      </c>
    </row>
    <row r="608" spans="1:12" ht="20.100000000000001" customHeight="1" x14ac:dyDescent="0.25">
      <c r="A608" s="2" t="s">
        <v>15</v>
      </c>
      <c r="B608" s="2" t="s">
        <v>5</v>
      </c>
      <c r="C608" s="2" t="s">
        <v>238</v>
      </c>
      <c r="D608" s="2" t="s">
        <v>30</v>
      </c>
      <c r="E608" s="2" t="s">
        <v>684</v>
      </c>
      <c r="F608" s="2" t="s">
        <v>369</v>
      </c>
      <c r="G608" s="2" t="s">
        <v>120</v>
      </c>
      <c r="H608" s="2" t="s">
        <v>10</v>
      </c>
      <c r="I608" s="2" t="s">
        <v>34</v>
      </c>
      <c r="J608" s="2" t="s">
        <v>237</v>
      </c>
      <c r="K608" s="3">
        <v>25.05</v>
      </c>
      <c r="L608" s="3">
        <v>1</v>
      </c>
    </row>
    <row r="609" spans="1:12" ht="20.100000000000001" customHeight="1" x14ac:dyDescent="0.25">
      <c r="A609" s="2" t="s">
        <v>15</v>
      </c>
      <c r="B609" s="2" t="s">
        <v>6</v>
      </c>
      <c r="C609" s="2" t="s">
        <v>210</v>
      </c>
      <c r="D609" s="2" t="s">
        <v>134</v>
      </c>
      <c r="E609" s="2" t="s">
        <v>685</v>
      </c>
      <c r="F609" s="2" t="s">
        <v>32</v>
      </c>
      <c r="G609" s="2" t="s">
        <v>120</v>
      </c>
      <c r="H609" s="2" t="s">
        <v>10</v>
      </c>
      <c r="I609" s="2" t="s">
        <v>34</v>
      </c>
      <c r="J609" s="2" t="s">
        <v>58</v>
      </c>
      <c r="K609" s="3">
        <v>25.02</v>
      </c>
      <c r="L609" s="3">
        <v>3.01</v>
      </c>
    </row>
    <row r="610" spans="1:12" ht="20.100000000000001" customHeight="1" x14ac:dyDescent="0.25">
      <c r="A610" s="2" t="s">
        <v>15</v>
      </c>
      <c r="B610" s="2" t="s">
        <v>6</v>
      </c>
      <c r="C610" s="2" t="s">
        <v>210</v>
      </c>
      <c r="D610" s="2" t="s">
        <v>134</v>
      </c>
      <c r="E610" s="2" t="s">
        <v>686</v>
      </c>
      <c r="F610" s="2" t="s">
        <v>687</v>
      </c>
      <c r="G610" s="2" t="s">
        <v>120</v>
      </c>
      <c r="H610" s="2" t="s">
        <v>10</v>
      </c>
      <c r="I610" s="2" t="s">
        <v>34</v>
      </c>
      <c r="J610" s="2" t="s">
        <v>58</v>
      </c>
      <c r="K610" s="3">
        <v>24.36</v>
      </c>
      <c r="L610" s="3">
        <v>2.93</v>
      </c>
    </row>
    <row r="611" spans="1:12" ht="20.100000000000001" customHeight="1" x14ac:dyDescent="0.25">
      <c r="A611" s="2" t="s">
        <v>15</v>
      </c>
      <c r="B611" s="2" t="s">
        <v>6</v>
      </c>
      <c r="C611" s="2" t="s">
        <v>210</v>
      </c>
      <c r="D611" s="2" t="s">
        <v>134</v>
      </c>
      <c r="E611" s="2" t="s">
        <v>688</v>
      </c>
      <c r="F611" s="2" t="s">
        <v>266</v>
      </c>
      <c r="G611" s="2" t="s">
        <v>33</v>
      </c>
      <c r="H611" s="2" t="s">
        <v>10</v>
      </c>
      <c r="I611" s="2" t="s">
        <v>34</v>
      </c>
      <c r="J611" s="2" t="s">
        <v>267</v>
      </c>
      <c r="K611" s="3">
        <v>24.36</v>
      </c>
      <c r="L611" s="3">
        <v>2.93</v>
      </c>
    </row>
    <row r="612" spans="1:12" ht="20.100000000000001" customHeight="1" x14ac:dyDescent="0.25">
      <c r="A612" s="2" t="s">
        <v>15</v>
      </c>
      <c r="B612" s="2" t="s">
        <v>5</v>
      </c>
      <c r="C612" s="2" t="s">
        <v>339</v>
      </c>
      <c r="D612" s="2" t="s">
        <v>118</v>
      </c>
      <c r="E612" s="2" t="s">
        <v>689</v>
      </c>
      <c r="F612" s="2" t="s">
        <v>634</v>
      </c>
      <c r="G612" s="2" t="s">
        <v>120</v>
      </c>
      <c r="H612" s="2" t="s">
        <v>10</v>
      </c>
      <c r="I612" s="2" t="s">
        <v>34</v>
      </c>
      <c r="J612" s="2" t="s">
        <v>51</v>
      </c>
      <c r="K612" s="3">
        <v>24.3</v>
      </c>
      <c r="L612" s="3">
        <v>0.97</v>
      </c>
    </row>
    <row r="613" spans="1:12" ht="20.100000000000001" customHeight="1" x14ac:dyDescent="0.25">
      <c r="A613" s="2" t="s">
        <v>15</v>
      </c>
      <c r="B613" s="2" t="s">
        <v>6</v>
      </c>
      <c r="C613" s="2" t="s">
        <v>117</v>
      </c>
      <c r="D613" s="2" t="s">
        <v>118</v>
      </c>
      <c r="E613" s="2" t="s">
        <v>690</v>
      </c>
      <c r="F613" s="2" t="s">
        <v>127</v>
      </c>
      <c r="G613" s="2" t="s">
        <v>33</v>
      </c>
      <c r="H613" s="2" t="s">
        <v>10</v>
      </c>
      <c r="I613" s="2" t="s">
        <v>34</v>
      </c>
      <c r="J613" s="2" t="s">
        <v>58</v>
      </c>
      <c r="K613" s="3">
        <v>23.46</v>
      </c>
      <c r="L613" s="3">
        <v>0.94</v>
      </c>
    </row>
    <row r="614" spans="1:12" ht="20.100000000000001" customHeight="1" x14ac:dyDescent="0.25">
      <c r="A614" s="2" t="s">
        <v>15</v>
      </c>
      <c r="B614" s="2" t="s">
        <v>2</v>
      </c>
      <c r="C614" s="2" t="s">
        <v>238</v>
      </c>
      <c r="D614" s="2" t="s">
        <v>30</v>
      </c>
      <c r="E614" s="2" t="s">
        <v>691</v>
      </c>
      <c r="F614" s="2" t="s">
        <v>127</v>
      </c>
      <c r="G614" s="2" t="s">
        <v>33</v>
      </c>
      <c r="H614" s="2" t="s">
        <v>10</v>
      </c>
      <c r="I614" s="2" t="s">
        <v>34</v>
      </c>
      <c r="J614" s="2" t="s">
        <v>58</v>
      </c>
      <c r="K614" s="3">
        <v>23.42</v>
      </c>
      <c r="L614" s="3">
        <v>0.94</v>
      </c>
    </row>
    <row r="615" spans="1:12" ht="20.100000000000001" customHeight="1" x14ac:dyDescent="0.25">
      <c r="A615" s="2" t="s">
        <v>15</v>
      </c>
      <c r="B615" s="2" t="s">
        <v>5</v>
      </c>
      <c r="C615" s="2" t="s">
        <v>100</v>
      </c>
      <c r="D615" s="2" t="s">
        <v>37</v>
      </c>
      <c r="E615" s="2" t="s">
        <v>692</v>
      </c>
      <c r="F615" s="2" t="s">
        <v>384</v>
      </c>
      <c r="G615" s="2" t="s">
        <v>83</v>
      </c>
      <c r="H615" s="2" t="s">
        <v>10</v>
      </c>
      <c r="I615" s="2" t="s">
        <v>34</v>
      </c>
      <c r="J615" s="2" t="s">
        <v>58</v>
      </c>
      <c r="K615" s="3">
        <v>23.11</v>
      </c>
      <c r="L615" s="3">
        <v>2.52</v>
      </c>
    </row>
    <row r="616" spans="1:12" ht="20.100000000000001" customHeight="1" x14ac:dyDescent="0.25">
      <c r="A616" s="2" t="s">
        <v>15</v>
      </c>
      <c r="B616" s="2" t="s">
        <v>5</v>
      </c>
      <c r="C616" s="2" t="s">
        <v>100</v>
      </c>
      <c r="D616" s="2" t="s">
        <v>37</v>
      </c>
      <c r="E616" s="2" t="s">
        <v>693</v>
      </c>
      <c r="F616" s="2" t="s">
        <v>404</v>
      </c>
      <c r="G616" s="2" t="s">
        <v>78</v>
      </c>
      <c r="H616" s="2" t="s">
        <v>10</v>
      </c>
      <c r="I616" s="2" t="s">
        <v>34</v>
      </c>
      <c r="J616" s="2" t="s">
        <v>58</v>
      </c>
      <c r="K616" s="3">
        <v>22.91</v>
      </c>
      <c r="L616" s="3">
        <v>2.5</v>
      </c>
    </row>
    <row r="617" spans="1:12" ht="20.100000000000001" customHeight="1" x14ac:dyDescent="0.25">
      <c r="A617" s="2" t="s">
        <v>15</v>
      </c>
      <c r="B617" s="2" t="s">
        <v>7</v>
      </c>
      <c r="C617" s="2" t="s">
        <v>100</v>
      </c>
      <c r="D617" s="2" t="s">
        <v>37</v>
      </c>
      <c r="E617" s="2" t="s">
        <v>694</v>
      </c>
      <c r="F617" s="2" t="s">
        <v>404</v>
      </c>
      <c r="G617" s="2" t="s">
        <v>78</v>
      </c>
      <c r="H617" s="2" t="s">
        <v>10</v>
      </c>
      <c r="I617" s="2" t="s">
        <v>34</v>
      </c>
      <c r="J617" s="2" t="s">
        <v>58</v>
      </c>
      <c r="K617" s="3">
        <v>22.1</v>
      </c>
      <c r="L617" s="3">
        <v>2.41</v>
      </c>
    </row>
    <row r="618" spans="1:12" ht="20.100000000000001" customHeight="1" x14ac:dyDescent="0.25">
      <c r="A618" s="2" t="s">
        <v>15</v>
      </c>
      <c r="B618" s="2" t="s">
        <v>3</v>
      </c>
      <c r="C618" s="2" t="s">
        <v>100</v>
      </c>
      <c r="D618" s="2" t="s">
        <v>37</v>
      </c>
      <c r="E618" s="2" t="s">
        <v>695</v>
      </c>
      <c r="F618" s="2" t="s">
        <v>584</v>
      </c>
      <c r="G618" s="2" t="s">
        <v>78</v>
      </c>
      <c r="H618" s="2" t="s">
        <v>10</v>
      </c>
      <c r="I618" s="2" t="s">
        <v>34</v>
      </c>
      <c r="J618" s="2" t="s">
        <v>237</v>
      </c>
      <c r="K618" s="3">
        <v>22.02</v>
      </c>
      <c r="L618" s="3">
        <v>2.4</v>
      </c>
    </row>
    <row r="619" spans="1:12" ht="20.100000000000001" customHeight="1" x14ac:dyDescent="0.25">
      <c r="A619" s="2" t="s">
        <v>15</v>
      </c>
      <c r="B619" s="2" t="s">
        <v>3</v>
      </c>
      <c r="C619" s="2" t="s">
        <v>100</v>
      </c>
      <c r="D619" s="2" t="s">
        <v>37</v>
      </c>
      <c r="E619" s="2" t="s">
        <v>559</v>
      </c>
      <c r="F619" s="2" t="s">
        <v>384</v>
      </c>
      <c r="G619" s="2" t="s">
        <v>83</v>
      </c>
      <c r="H619" s="2" t="s">
        <v>10</v>
      </c>
      <c r="I619" s="2" t="s">
        <v>34</v>
      </c>
      <c r="J619" s="2" t="s">
        <v>58</v>
      </c>
      <c r="K619" s="3">
        <v>21.95</v>
      </c>
      <c r="L619" s="3">
        <v>2.39</v>
      </c>
    </row>
    <row r="620" spans="1:12" ht="20.100000000000001" customHeight="1" x14ac:dyDescent="0.25">
      <c r="A620" s="2" t="s">
        <v>15</v>
      </c>
      <c r="B620" s="2" t="s">
        <v>2</v>
      </c>
      <c r="C620" s="2" t="s">
        <v>100</v>
      </c>
      <c r="D620" s="2" t="s">
        <v>37</v>
      </c>
      <c r="E620" s="2" t="s">
        <v>559</v>
      </c>
      <c r="F620" s="2" t="s">
        <v>384</v>
      </c>
      <c r="G620" s="2" t="s">
        <v>83</v>
      </c>
      <c r="H620" s="2" t="s">
        <v>10</v>
      </c>
      <c r="I620" s="2" t="s">
        <v>34</v>
      </c>
      <c r="J620" s="2" t="s">
        <v>58</v>
      </c>
      <c r="K620" s="3">
        <v>21.95</v>
      </c>
      <c r="L620" s="3">
        <v>2.39</v>
      </c>
    </row>
    <row r="621" spans="1:12" ht="20.100000000000001" customHeight="1" x14ac:dyDescent="0.25">
      <c r="A621" s="2" t="s">
        <v>15</v>
      </c>
      <c r="B621" s="2" t="s">
        <v>7</v>
      </c>
      <c r="C621" s="2" t="s">
        <v>100</v>
      </c>
      <c r="D621" s="2" t="s">
        <v>37</v>
      </c>
      <c r="E621" s="2" t="s">
        <v>695</v>
      </c>
      <c r="F621" s="2" t="s">
        <v>584</v>
      </c>
      <c r="G621" s="2" t="s">
        <v>78</v>
      </c>
      <c r="H621" s="2" t="s">
        <v>10</v>
      </c>
      <c r="I621" s="2" t="s">
        <v>34</v>
      </c>
      <c r="J621" s="2" t="s">
        <v>237</v>
      </c>
      <c r="K621" s="3">
        <v>21.61</v>
      </c>
      <c r="L621" s="3">
        <v>2.36</v>
      </c>
    </row>
    <row r="622" spans="1:12" ht="20.100000000000001" customHeight="1" x14ac:dyDescent="0.25">
      <c r="A622" s="2" t="s">
        <v>15</v>
      </c>
      <c r="B622" s="2" t="s">
        <v>2</v>
      </c>
      <c r="C622" s="2" t="s">
        <v>238</v>
      </c>
      <c r="D622" s="2" t="s">
        <v>30</v>
      </c>
      <c r="E622" s="2" t="s">
        <v>696</v>
      </c>
      <c r="F622" s="2" t="s">
        <v>369</v>
      </c>
      <c r="G622" s="2" t="s">
        <v>120</v>
      </c>
      <c r="H622" s="2" t="s">
        <v>10</v>
      </c>
      <c r="I622" s="2" t="s">
        <v>34</v>
      </c>
      <c r="J622" s="2" t="s">
        <v>237</v>
      </c>
      <c r="K622" s="3">
        <v>20.18</v>
      </c>
      <c r="L622" s="3">
        <v>0.81</v>
      </c>
    </row>
    <row r="623" spans="1:12" ht="20.100000000000001" customHeight="1" x14ac:dyDescent="0.25">
      <c r="A623" s="2" t="s">
        <v>15</v>
      </c>
      <c r="B623" s="2" t="s">
        <v>6</v>
      </c>
      <c r="C623" s="2" t="s">
        <v>210</v>
      </c>
      <c r="D623" s="2" t="s">
        <v>134</v>
      </c>
      <c r="E623" s="2" t="s">
        <v>697</v>
      </c>
      <c r="F623" s="2" t="s">
        <v>687</v>
      </c>
      <c r="G623" s="2" t="s">
        <v>120</v>
      </c>
      <c r="H623" s="2" t="s">
        <v>10</v>
      </c>
      <c r="I623" s="2" t="s">
        <v>34</v>
      </c>
      <c r="J623" s="2" t="s">
        <v>58</v>
      </c>
      <c r="K623" s="3">
        <v>19.850000000000001</v>
      </c>
      <c r="L623" s="3">
        <v>2.39</v>
      </c>
    </row>
    <row r="624" spans="1:12" ht="20.100000000000001" customHeight="1" x14ac:dyDescent="0.25">
      <c r="A624" s="2" t="s">
        <v>15</v>
      </c>
      <c r="B624" s="2" t="s">
        <v>6</v>
      </c>
      <c r="C624" s="2" t="s">
        <v>210</v>
      </c>
      <c r="D624" s="2" t="s">
        <v>134</v>
      </c>
      <c r="E624" s="2" t="s">
        <v>698</v>
      </c>
      <c r="F624" s="2" t="s">
        <v>32</v>
      </c>
      <c r="G624" s="2" t="s">
        <v>120</v>
      </c>
      <c r="H624" s="2" t="s">
        <v>10</v>
      </c>
      <c r="I624" s="2" t="s">
        <v>34</v>
      </c>
      <c r="J624" s="2" t="s">
        <v>58</v>
      </c>
      <c r="K624" s="3">
        <v>19.489999999999998</v>
      </c>
      <c r="L624" s="3">
        <v>2.35</v>
      </c>
    </row>
    <row r="625" spans="1:12" ht="20.100000000000001" customHeight="1" x14ac:dyDescent="0.25">
      <c r="A625" s="2" t="s">
        <v>15</v>
      </c>
      <c r="B625" s="2" t="s">
        <v>6</v>
      </c>
      <c r="C625" s="2" t="s">
        <v>210</v>
      </c>
      <c r="D625" s="2" t="s">
        <v>134</v>
      </c>
      <c r="E625" s="2" t="s">
        <v>699</v>
      </c>
      <c r="F625" s="2" t="s">
        <v>32</v>
      </c>
      <c r="G625" s="2" t="s">
        <v>120</v>
      </c>
      <c r="H625" s="2" t="s">
        <v>10</v>
      </c>
      <c r="I625" s="2" t="s">
        <v>34</v>
      </c>
      <c r="J625" s="2" t="s">
        <v>58</v>
      </c>
      <c r="K625" s="3">
        <v>18.38</v>
      </c>
      <c r="L625" s="3">
        <v>2.21</v>
      </c>
    </row>
    <row r="626" spans="1:12" ht="20.100000000000001" customHeight="1" x14ac:dyDescent="0.25">
      <c r="A626" s="2" t="s">
        <v>15</v>
      </c>
      <c r="B626" s="2" t="s">
        <v>3</v>
      </c>
      <c r="C626" s="2" t="s">
        <v>100</v>
      </c>
      <c r="D626" s="2" t="s">
        <v>37</v>
      </c>
      <c r="E626" s="2" t="s">
        <v>700</v>
      </c>
      <c r="F626" s="2" t="s">
        <v>584</v>
      </c>
      <c r="G626" s="2" t="s">
        <v>78</v>
      </c>
      <c r="H626" s="2" t="s">
        <v>10</v>
      </c>
      <c r="I626" s="2" t="s">
        <v>34</v>
      </c>
      <c r="J626" s="2" t="s">
        <v>237</v>
      </c>
      <c r="K626" s="3">
        <v>18.36</v>
      </c>
      <c r="L626" s="3">
        <v>2</v>
      </c>
    </row>
    <row r="627" spans="1:12" ht="20.100000000000001" customHeight="1" x14ac:dyDescent="0.25">
      <c r="A627" s="2" t="s">
        <v>15</v>
      </c>
      <c r="B627" s="2" t="s">
        <v>2</v>
      </c>
      <c r="C627" s="2" t="s">
        <v>238</v>
      </c>
      <c r="D627" s="2" t="s">
        <v>30</v>
      </c>
      <c r="E627" s="2" t="s">
        <v>701</v>
      </c>
      <c r="F627" s="2" t="s">
        <v>369</v>
      </c>
      <c r="G627" s="2" t="s">
        <v>120</v>
      </c>
      <c r="H627" s="2" t="s">
        <v>10</v>
      </c>
      <c r="I627" s="2" t="s">
        <v>34</v>
      </c>
      <c r="J627" s="2" t="s">
        <v>237</v>
      </c>
      <c r="K627" s="3">
        <v>18.350000000000001</v>
      </c>
      <c r="L627" s="3">
        <v>0.73</v>
      </c>
    </row>
    <row r="628" spans="1:12" ht="20.100000000000001" customHeight="1" x14ac:dyDescent="0.25">
      <c r="A628" s="2" t="s">
        <v>15</v>
      </c>
      <c r="B628" s="2" t="s">
        <v>6</v>
      </c>
      <c r="C628" s="2" t="s">
        <v>210</v>
      </c>
      <c r="D628" s="2" t="s">
        <v>134</v>
      </c>
      <c r="E628" s="2" t="s">
        <v>702</v>
      </c>
      <c r="F628" s="2" t="s">
        <v>454</v>
      </c>
      <c r="G628" s="2" t="s">
        <v>120</v>
      </c>
      <c r="H628" s="2" t="s">
        <v>10</v>
      </c>
      <c r="I628" s="2" t="s">
        <v>34</v>
      </c>
      <c r="J628" s="2" t="s">
        <v>58</v>
      </c>
      <c r="K628" s="3">
        <v>18.14</v>
      </c>
      <c r="L628" s="3">
        <v>0.73</v>
      </c>
    </row>
    <row r="629" spans="1:12" ht="20.100000000000001" customHeight="1" x14ac:dyDescent="0.25">
      <c r="A629" s="2" t="s">
        <v>15</v>
      </c>
      <c r="B629" s="2" t="s">
        <v>5</v>
      </c>
      <c r="C629" s="2" t="s">
        <v>339</v>
      </c>
      <c r="D629" s="2" t="s">
        <v>118</v>
      </c>
      <c r="E629" s="2" t="s">
        <v>703</v>
      </c>
      <c r="F629" s="2" t="s">
        <v>527</v>
      </c>
      <c r="G629" s="2" t="s">
        <v>33</v>
      </c>
      <c r="H629" s="2" t="s">
        <v>10</v>
      </c>
      <c r="I629" s="2" t="s">
        <v>34</v>
      </c>
      <c r="J629" s="2" t="s">
        <v>58</v>
      </c>
      <c r="K629" s="3">
        <v>18</v>
      </c>
      <c r="L629" s="3">
        <v>0.72</v>
      </c>
    </row>
    <row r="630" spans="1:12" ht="20.100000000000001" customHeight="1" x14ac:dyDescent="0.25">
      <c r="A630" s="2" t="s">
        <v>15</v>
      </c>
      <c r="B630" s="2" t="s">
        <v>6</v>
      </c>
      <c r="C630" s="2" t="s">
        <v>210</v>
      </c>
      <c r="D630" s="2" t="s">
        <v>134</v>
      </c>
      <c r="E630" s="2" t="s">
        <v>704</v>
      </c>
      <c r="F630" s="2" t="s">
        <v>32</v>
      </c>
      <c r="G630" s="2" t="s">
        <v>120</v>
      </c>
      <c r="H630" s="2" t="s">
        <v>10</v>
      </c>
      <c r="I630" s="2" t="s">
        <v>34</v>
      </c>
      <c r="J630" s="2" t="s">
        <v>58</v>
      </c>
      <c r="K630" s="3">
        <v>17.95</v>
      </c>
      <c r="L630" s="3">
        <v>2.15</v>
      </c>
    </row>
    <row r="631" spans="1:12" ht="20.100000000000001" customHeight="1" x14ac:dyDescent="0.25">
      <c r="A631" s="2" t="s">
        <v>15</v>
      </c>
      <c r="B631" s="2" t="s">
        <v>6</v>
      </c>
      <c r="C631" s="2" t="s">
        <v>210</v>
      </c>
      <c r="D631" s="2" t="s">
        <v>134</v>
      </c>
      <c r="E631" s="2" t="s">
        <v>705</v>
      </c>
      <c r="F631" s="2" t="s">
        <v>266</v>
      </c>
      <c r="G631" s="2" t="s">
        <v>33</v>
      </c>
      <c r="H631" s="2" t="s">
        <v>10</v>
      </c>
      <c r="I631" s="2" t="s">
        <v>34</v>
      </c>
      <c r="J631" s="2" t="s">
        <v>267</v>
      </c>
      <c r="K631" s="3">
        <v>17.87</v>
      </c>
      <c r="L631" s="3">
        <v>2.14</v>
      </c>
    </row>
    <row r="632" spans="1:12" ht="20.100000000000001" customHeight="1" x14ac:dyDescent="0.25">
      <c r="A632" s="2" t="s">
        <v>15</v>
      </c>
      <c r="B632" s="2" t="s">
        <v>5</v>
      </c>
      <c r="C632" s="2" t="s">
        <v>339</v>
      </c>
      <c r="D632" s="2" t="s">
        <v>118</v>
      </c>
      <c r="E632" s="2" t="s">
        <v>706</v>
      </c>
      <c r="F632" s="2" t="s">
        <v>634</v>
      </c>
      <c r="G632" s="2" t="s">
        <v>120</v>
      </c>
      <c r="H632" s="2" t="s">
        <v>10</v>
      </c>
      <c r="I632" s="2" t="s">
        <v>34</v>
      </c>
      <c r="J632" s="2" t="s">
        <v>51</v>
      </c>
      <c r="K632" s="3">
        <v>17.72</v>
      </c>
      <c r="L632" s="3">
        <v>0.71</v>
      </c>
    </row>
    <row r="633" spans="1:12" ht="20.100000000000001" customHeight="1" x14ac:dyDescent="0.25">
      <c r="A633" s="2" t="s">
        <v>15</v>
      </c>
      <c r="B633" s="2" t="s">
        <v>2</v>
      </c>
      <c r="C633" s="2" t="s">
        <v>238</v>
      </c>
      <c r="D633" s="2" t="s">
        <v>30</v>
      </c>
      <c r="E633" s="2" t="s">
        <v>707</v>
      </c>
      <c r="F633" s="2" t="s">
        <v>127</v>
      </c>
      <c r="G633" s="2" t="s">
        <v>33</v>
      </c>
      <c r="H633" s="2" t="s">
        <v>10</v>
      </c>
      <c r="I633" s="2" t="s">
        <v>34</v>
      </c>
      <c r="J633" s="2" t="s">
        <v>58</v>
      </c>
      <c r="K633" s="3">
        <v>17.66</v>
      </c>
      <c r="L633" s="3">
        <v>0.71</v>
      </c>
    </row>
    <row r="634" spans="1:12" ht="20.100000000000001" customHeight="1" x14ac:dyDescent="0.25">
      <c r="A634" s="2" t="s">
        <v>15</v>
      </c>
      <c r="B634" s="2" t="s">
        <v>6</v>
      </c>
      <c r="C634" s="2" t="s">
        <v>210</v>
      </c>
      <c r="D634" s="2" t="s">
        <v>134</v>
      </c>
      <c r="E634" s="2" t="s">
        <v>708</v>
      </c>
      <c r="F634" s="2" t="s">
        <v>32</v>
      </c>
      <c r="G634" s="2" t="s">
        <v>120</v>
      </c>
      <c r="H634" s="2" t="s">
        <v>10</v>
      </c>
      <c r="I634" s="2" t="s">
        <v>34</v>
      </c>
      <c r="J634" s="2" t="s">
        <v>58</v>
      </c>
      <c r="K634" s="3">
        <v>17.57</v>
      </c>
      <c r="L634" s="3">
        <v>2.11</v>
      </c>
    </row>
    <row r="635" spans="1:12" ht="20.100000000000001" customHeight="1" x14ac:dyDescent="0.25">
      <c r="A635" s="2" t="s">
        <v>15</v>
      </c>
      <c r="B635" s="2" t="s">
        <v>5</v>
      </c>
      <c r="C635" s="2" t="s">
        <v>80</v>
      </c>
      <c r="D635" s="2" t="s">
        <v>37</v>
      </c>
      <c r="E635" s="2" t="s">
        <v>677</v>
      </c>
      <c r="F635" s="2" t="s">
        <v>603</v>
      </c>
      <c r="G635" s="2" t="s">
        <v>78</v>
      </c>
      <c r="H635" s="2" t="s">
        <v>10</v>
      </c>
      <c r="I635" s="2" t="s">
        <v>34</v>
      </c>
      <c r="J635" s="2" t="s">
        <v>84</v>
      </c>
      <c r="K635" s="3">
        <v>17.46</v>
      </c>
      <c r="L635" s="3">
        <v>1.9</v>
      </c>
    </row>
    <row r="636" spans="1:12" ht="20.100000000000001" customHeight="1" x14ac:dyDescent="0.25">
      <c r="A636" s="2" t="s">
        <v>15</v>
      </c>
      <c r="B636" s="2" t="s">
        <v>7</v>
      </c>
      <c r="C636" s="2" t="s">
        <v>80</v>
      </c>
      <c r="D636" s="2" t="s">
        <v>37</v>
      </c>
      <c r="E636" s="2" t="s">
        <v>709</v>
      </c>
      <c r="F636" s="2" t="s">
        <v>603</v>
      </c>
      <c r="G636" s="2" t="s">
        <v>78</v>
      </c>
      <c r="H636" s="2" t="s">
        <v>10</v>
      </c>
      <c r="I636" s="2" t="s">
        <v>34</v>
      </c>
      <c r="J636" s="2" t="s">
        <v>84</v>
      </c>
      <c r="K636" s="3">
        <v>17.46</v>
      </c>
      <c r="L636" s="3">
        <v>1.9</v>
      </c>
    </row>
    <row r="637" spans="1:12" ht="20.100000000000001" customHeight="1" x14ac:dyDescent="0.25">
      <c r="A637" s="2" t="s">
        <v>9</v>
      </c>
      <c r="B637" s="2" t="s">
        <v>5</v>
      </c>
      <c r="C637" s="2" t="s">
        <v>423</v>
      </c>
      <c r="D637" s="2" t="s">
        <v>37</v>
      </c>
      <c r="E637" s="2" t="s">
        <v>710</v>
      </c>
      <c r="F637" s="2" t="s">
        <v>711</v>
      </c>
      <c r="G637" s="2" t="s">
        <v>83</v>
      </c>
      <c r="H637" s="2" t="s">
        <v>10</v>
      </c>
      <c r="I637" s="2" t="s">
        <v>34</v>
      </c>
      <c r="J637" s="2" t="s">
        <v>267</v>
      </c>
      <c r="K637" s="3">
        <v>17</v>
      </c>
      <c r="L637" s="3">
        <v>0</v>
      </c>
    </row>
    <row r="638" spans="1:12" ht="20.100000000000001" customHeight="1" x14ac:dyDescent="0.25">
      <c r="A638" s="2" t="s">
        <v>15</v>
      </c>
      <c r="B638" s="2" t="s">
        <v>5</v>
      </c>
      <c r="C638" s="2" t="s">
        <v>80</v>
      </c>
      <c r="D638" s="2" t="s">
        <v>37</v>
      </c>
      <c r="E638" s="2" t="s">
        <v>712</v>
      </c>
      <c r="F638" s="2" t="s">
        <v>603</v>
      </c>
      <c r="G638" s="2" t="s">
        <v>78</v>
      </c>
      <c r="H638" s="2" t="s">
        <v>10</v>
      </c>
      <c r="I638" s="2" t="s">
        <v>34</v>
      </c>
      <c r="J638" s="2" t="s">
        <v>84</v>
      </c>
      <c r="K638" s="3">
        <v>16.829999999999998</v>
      </c>
      <c r="L638" s="3">
        <v>1.83</v>
      </c>
    </row>
    <row r="639" spans="1:12" ht="20.100000000000001" customHeight="1" x14ac:dyDescent="0.25">
      <c r="A639" s="2" t="s">
        <v>15</v>
      </c>
      <c r="B639" s="2" t="s">
        <v>5</v>
      </c>
      <c r="C639" s="2" t="s">
        <v>80</v>
      </c>
      <c r="D639" s="2" t="s">
        <v>37</v>
      </c>
      <c r="E639" s="2" t="s">
        <v>602</v>
      </c>
      <c r="F639" s="2" t="s">
        <v>603</v>
      </c>
      <c r="G639" s="2" t="s">
        <v>78</v>
      </c>
      <c r="H639" s="2" t="s">
        <v>10</v>
      </c>
      <c r="I639" s="2" t="s">
        <v>34</v>
      </c>
      <c r="J639" s="2" t="s">
        <v>84</v>
      </c>
      <c r="K639" s="3">
        <v>16.739999999999998</v>
      </c>
      <c r="L639" s="3">
        <v>1.83</v>
      </c>
    </row>
    <row r="640" spans="1:12" ht="20.100000000000001" customHeight="1" x14ac:dyDescent="0.25">
      <c r="A640" s="2" t="s">
        <v>15</v>
      </c>
      <c r="B640" s="2" t="s">
        <v>5</v>
      </c>
      <c r="C640" s="2" t="s">
        <v>80</v>
      </c>
      <c r="D640" s="2" t="s">
        <v>37</v>
      </c>
      <c r="E640" s="2" t="s">
        <v>653</v>
      </c>
      <c r="F640" s="2" t="s">
        <v>603</v>
      </c>
      <c r="G640" s="2" t="s">
        <v>78</v>
      </c>
      <c r="H640" s="2" t="s">
        <v>10</v>
      </c>
      <c r="I640" s="2" t="s">
        <v>34</v>
      </c>
      <c r="J640" s="2" t="s">
        <v>84</v>
      </c>
      <c r="K640" s="3">
        <v>16.47</v>
      </c>
      <c r="L640" s="3">
        <v>1.8</v>
      </c>
    </row>
    <row r="641" spans="1:12" ht="20.100000000000001" customHeight="1" x14ac:dyDescent="0.25">
      <c r="A641" s="2" t="s">
        <v>15</v>
      </c>
      <c r="B641" s="2" t="s">
        <v>2</v>
      </c>
      <c r="C641" s="2" t="s">
        <v>238</v>
      </c>
      <c r="D641" s="2" t="s">
        <v>30</v>
      </c>
      <c r="E641" s="2" t="s">
        <v>713</v>
      </c>
      <c r="F641" s="2" t="s">
        <v>127</v>
      </c>
      <c r="G641" s="2" t="s">
        <v>33</v>
      </c>
      <c r="H641" s="2" t="s">
        <v>10</v>
      </c>
      <c r="I641" s="2" t="s">
        <v>34</v>
      </c>
      <c r="J641" s="2" t="s">
        <v>58</v>
      </c>
      <c r="K641" s="3">
        <v>16.32</v>
      </c>
      <c r="L641" s="3">
        <v>0.65</v>
      </c>
    </row>
    <row r="642" spans="1:12" ht="20.100000000000001" customHeight="1" x14ac:dyDescent="0.25">
      <c r="A642" s="2" t="s">
        <v>15</v>
      </c>
      <c r="B642" s="2" t="s">
        <v>5</v>
      </c>
      <c r="C642" s="2" t="s">
        <v>339</v>
      </c>
      <c r="D642" s="2" t="s">
        <v>118</v>
      </c>
      <c r="E642" s="2" t="s">
        <v>714</v>
      </c>
      <c r="F642" s="2" t="s">
        <v>527</v>
      </c>
      <c r="G642" s="2" t="s">
        <v>33</v>
      </c>
      <c r="H642" s="2" t="s">
        <v>10</v>
      </c>
      <c r="I642" s="2" t="s">
        <v>34</v>
      </c>
      <c r="J642" s="2" t="s">
        <v>58</v>
      </c>
      <c r="K642" s="3">
        <v>16.2</v>
      </c>
      <c r="L642" s="3">
        <v>0.65</v>
      </c>
    </row>
    <row r="643" spans="1:12" ht="20.100000000000001" customHeight="1" x14ac:dyDescent="0.25">
      <c r="A643" s="2" t="s">
        <v>15</v>
      </c>
      <c r="B643" s="2" t="s">
        <v>5</v>
      </c>
      <c r="C643" s="2" t="s">
        <v>339</v>
      </c>
      <c r="D643" s="2" t="s">
        <v>118</v>
      </c>
      <c r="E643" s="2" t="s">
        <v>715</v>
      </c>
      <c r="F643" s="2" t="s">
        <v>616</v>
      </c>
      <c r="G643" s="2" t="s">
        <v>33</v>
      </c>
      <c r="H643" s="2" t="s">
        <v>10</v>
      </c>
      <c r="I643" s="2" t="s">
        <v>34</v>
      </c>
      <c r="J643" s="2" t="s">
        <v>58</v>
      </c>
      <c r="K643" s="3">
        <v>14.99</v>
      </c>
      <c r="L643" s="3">
        <v>0.6</v>
      </c>
    </row>
    <row r="644" spans="1:12" ht="20.100000000000001" customHeight="1" x14ac:dyDescent="0.25">
      <c r="A644" s="2" t="s">
        <v>15</v>
      </c>
      <c r="B644" s="2" t="s">
        <v>2</v>
      </c>
      <c r="C644" s="2" t="s">
        <v>122</v>
      </c>
      <c r="D644" s="2" t="s">
        <v>30</v>
      </c>
      <c r="E644" s="2" t="s">
        <v>716</v>
      </c>
      <c r="F644" s="2" t="s">
        <v>32</v>
      </c>
      <c r="G644" s="2" t="s">
        <v>45</v>
      </c>
      <c r="H644" s="2" t="s">
        <v>10</v>
      </c>
      <c r="I644" s="2" t="s">
        <v>34</v>
      </c>
      <c r="J644" s="2" t="s">
        <v>58</v>
      </c>
      <c r="K644" s="3">
        <v>14.25</v>
      </c>
      <c r="L644" s="3">
        <v>0</v>
      </c>
    </row>
    <row r="645" spans="1:12" ht="20.100000000000001" customHeight="1" x14ac:dyDescent="0.25">
      <c r="A645" s="2" t="s">
        <v>15</v>
      </c>
      <c r="B645" s="2" t="s">
        <v>2</v>
      </c>
      <c r="C645" s="2" t="s">
        <v>122</v>
      </c>
      <c r="D645" s="2" t="s">
        <v>30</v>
      </c>
      <c r="E645" s="2" t="s">
        <v>716</v>
      </c>
      <c r="F645" s="2" t="s">
        <v>32</v>
      </c>
      <c r="G645" s="2" t="s">
        <v>45</v>
      </c>
      <c r="H645" s="2" t="s">
        <v>10</v>
      </c>
      <c r="I645" s="2" t="s">
        <v>34</v>
      </c>
      <c r="J645" s="2" t="s">
        <v>58</v>
      </c>
      <c r="K645" s="3">
        <v>14.25</v>
      </c>
      <c r="L645" s="3">
        <v>0</v>
      </c>
    </row>
    <row r="646" spans="1:12" ht="20.100000000000001" customHeight="1" x14ac:dyDescent="0.25">
      <c r="A646" s="2" t="s">
        <v>15</v>
      </c>
      <c r="B646" s="2" t="s">
        <v>2</v>
      </c>
      <c r="C646" s="2" t="s">
        <v>122</v>
      </c>
      <c r="D646" s="2" t="s">
        <v>30</v>
      </c>
      <c r="E646" s="2" t="s">
        <v>716</v>
      </c>
      <c r="F646" s="2" t="s">
        <v>32</v>
      </c>
      <c r="G646" s="2" t="s">
        <v>45</v>
      </c>
      <c r="H646" s="2" t="s">
        <v>10</v>
      </c>
      <c r="I646" s="2" t="s">
        <v>34</v>
      </c>
      <c r="J646" s="2" t="s">
        <v>58</v>
      </c>
      <c r="K646" s="3">
        <v>14.25</v>
      </c>
      <c r="L646" s="3">
        <v>0</v>
      </c>
    </row>
    <row r="647" spans="1:12" ht="20.100000000000001" customHeight="1" x14ac:dyDescent="0.25">
      <c r="A647" s="2" t="s">
        <v>15</v>
      </c>
      <c r="B647" s="2" t="s">
        <v>6</v>
      </c>
      <c r="C647" s="2" t="s">
        <v>210</v>
      </c>
      <c r="D647" s="2" t="s">
        <v>134</v>
      </c>
      <c r="E647" s="2" t="s">
        <v>717</v>
      </c>
      <c r="F647" s="2" t="s">
        <v>462</v>
      </c>
      <c r="G647" s="2" t="s">
        <v>120</v>
      </c>
      <c r="H647" s="2" t="s">
        <v>10</v>
      </c>
      <c r="I647" s="2" t="s">
        <v>34</v>
      </c>
      <c r="J647" s="2" t="s">
        <v>58</v>
      </c>
      <c r="K647" s="3">
        <v>14.24</v>
      </c>
      <c r="L647" s="3">
        <v>0.56999999999999995</v>
      </c>
    </row>
    <row r="648" spans="1:12" ht="20.100000000000001" customHeight="1" x14ac:dyDescent="0.25">
      <c r="A648" s="2" t="s">
        <v>15</v>
      </c>
      <c r="B648" s="2" t="s">
        <v>5</v>
      </c>
      <c r="C648" s="2" t="s">
        <v>339</v>
      </c>
      <c r="D648" s="2" t="s">
        <v>118</v>
      </c>
      <c r="E648" s="2" t="s">
        <v>718</v>
      </c>
      <c r="F648" s="2" t="s">
        <v>532</v>
      </c>
      <c r="G648" s="2" t="s">
        <v>33</v>
      </c>
      <c r="H648" s="2" t="s">
        <v>10</v>
      </c>
      <c r="I648" s="2" t="s">
        <v>34</v>
      </c>
      <c r="J648" s="2" t="s">
        <v>58</v>
      </c>
      <c r="K648" s="3">
        <v>13.61</v>
      </c>
      <c r="L648" s="3">
        <v>0.54</v>
      </c>
    </row>
    <row r="649" spans="1:12" ht="20.100000000000001" customHeight="1" x14ac:dyDescent="0.25">
      <c r="A649" s="2" t="s">
        <v>15</v>
      </c>
      <c r="B649" s="2" t="s">
        <v>5</v>
      </c>
      <c r="C649" s="2" t="s">
        <v>100</v>
      </c>
      <c r="D649" s="2" t="s">
        <v>37</v>
      </c>
      <c r="E649" s="2" t="s">
        <v>719</v>
      </c>
      <c r="F649" s="2" t="s">
        <v>616</v>
      </c>
      <c r="G649" s="2" t="s">
        <v>83</v>
      </c>
      <c r="H649" s="2" t="s">
        <v>10</v>
      </c>
      <c r="I649" s="2" t="s">
        <v>34</v>
      </c>
      <c r="J649" s="2" t="s">
        <v>237</v>
      </c>
      <c r="K649" s="3">
        <v>13.46</v>
      </c>
      <c r="L649" s="3">
        <v>1.47</v>
      </c>
    </row>
    <row r="650" spans="1:12" ht="20.100000000000001" customHeight="1" x14ac:dyDescent="0.25">
      <c r="A650" s="2" t="s">
        <v>15</v>
      </c>
      <c r="B650" s="2" t="s">
        <v>3</v>
      </c>
      <c r="C650" s="2" t="s">
        <v>100</v>
      </c>
      <c r="D650" s="2" t="s">
        <v>37</v>
      </c>
      <c r="E650" s="2" t="s">
        <v>719</v>
      </c>
      <c r="F650" s="2" t="s">
        <v>616</v>
      </c>
      <c r="G650" s="2" t="s">
        <v>83</v>
      </c>
      <c r="H650" s="2" t="s">
        <v>10</v>
      </c>
      <c r="I650" s="2" t="s">
        <v>34</v>
      </c>
      <c r="J650" s="2" t="s">
        <v>237</v>
      </c>
      <c r="K650" s="3">
        <v>13.46</v>
      </c>
      <c r="L650" s="3">
        <v>1.47</v>
      </c>
    </row>
    <row r="651" spans="1:12" ht="20.100000000000001" customHeight="1" x14ac:dyDescent="0.25">
      <c r="A651" s="2" t="s">
        <v>15</v>
      </c>
      <c r="B651" s="2" t="s">
        <v>5</v>
      </c>
      <c r="C651" s="2" t="s">
        <v>339</v>
      </c>
      <c r="D651" s="2" t="s">
        <v>118</v>
      </c>
      <c r="E651" s="2" t="s">
        <v>720</v>
      </c>
      <c r="F651" s="2" t="s">
        <v>634</v>
      </c>
      <c r="G651" s="2" t="s">
        <v>120</v>
      </c>
      <c r="H651" s="2" t="s">
        <v>10</v>
      </c>
      <c r="I651" s="2" t="s">
        <v>34</v>
      </c>
      <c r="J651" s="2" t="s">
        <v>51</v>
      </c>
      <c r="K651" s="3">
        <v>13.07</v>
      </c>
      <c r="L651" s="3">
        <v>0.52</v>
      </c>
    </row>
    <row r="652" spans="1:12" ht="20.100000000000001" customHeight="1" x14ac:dyDescent="0.25">
      <c r="A652" s="2" t="s">
        <v>15</v>
      </c>
      <c r="B652" s="2" t="s">
        <v>7</v>
      </c>
      <c r="C652" s="2" t="s">
        <v>100</v>
      </c>
      <c r="D652" s="2" t="s">
        <v>37</v>
      </c>
      <c r="E652" s="2" t="s">
        <v>719</v>
      </c>
      <c r="F652" s="2" t="s">
        <v>616</v>
      </c>
      <c r="G652" s="2" t="s">
        <v>83</v>
      </c>
      <c r="H652" s="2" t="s">
        <v>10</v>
      </c>
      <c r="I652" s="2" t="s">
        <v>34</v>
      </c>
      <c r="J652" s="2" t="s">
        <v>237</v>
      </c>
      <c r="K652" s="3">
        <v>12.89</v>
      </c>
      <c r="L652" s="3">
        <v>1.41</v>
      </c>
    </row>
    <row r="653" spans="1:12" ht="20.100000000000001" customHeight="1" x14ac:dyDescent="0.25">
      <c r="A653" s="2" t="s">
        <v>9</v>
      </c>
      <c r="B653" s="2" t="s">
        <v>5</v>
      </c>
      <c r="C653" s="2" t="s">
        <v>423</v>
      </c>
      <c r="D653" s="2" t="s">
        <v>37</v>
      </c>
      <c r="E653" s="2" t="s">
        <v>721</v>
      </c>
      <c r="F653" s="2" t="s">
        <v>711</v>
      </c>
      <c r="G653" s="2" t="s">
        <v>83</v>
      </c>
      <c r="H653" s="2" t="s">
        <v>10</v>
      </c>
      <c r="I653" s="2" t="s">
        <v>34</v>
      </c>
      <c r="J653" s="2" t="s">
        <v>267</v>
      </c>
      <c r="K653" s="3">
        <v>12.41</v>
      </c>
      <c r="L653" s="3">
        <v>0</v>
      </c>
    </row>
    <row r="654" spans="1:12" ht="20.100000000000001" customHeight="1" x14ac:dyDescent="0.25">
      <c r="A654" s="2" t="s">
        <v>15</v>
      </c>
      <c r="B654" s="2" t="s">
        <v>5</v>
      </c>
      <c r="C654" s="2" t="s">
        <v>80</v>
      </c>
      <c r="D654" s="2" t="s">
        <v>37</v>
      </c>
      <c r="E654" s="2" t="s">
        <v>722</v>
      </c>
      <c r="F654" s="2" t="s">
        <v>603</v>
      </c>
      <c r="G654" s="2" t="s">
        <v>78</v>
      </c>
      <c r="H654" s="2" t="s">
        <v>10</v>
      </c>
      <c r="I654" s="2" t="s">
        <v>34</v>
      </c>
      <c r="J654" s="2" t="s">
        <v>84</v>
      </c>
      <c r="K654" s="3">
        <v>11.88</v>
      </c>
      <c r="L654" s="3">
        <v>1.31</v>
      </c>
    </row>
    <row r="655" spans="1:12" ht="20.100000000000001" customHeight="1" x14ac:dyDescent="0.25">
      <c r="A655" s="2" t="s">
        <v>15</v>
      </c>
      <c r="B655" s="2" t="s">
        <v>6</v>
      </c>
      <c r="C655" s="2" t="s">
        <v>210</v>
      </c>
      <c r="D655" s="2" t="s">
        <v>134</v>
      </c>
      <c r="E655" s="2" t="s">
        <v>723</v>
      </c>
      <c r="F655" s="2" t="s">
        <v>32</v>
      </c>
      <c r="G655" s="2" t="s">
        <v>120</v>
      </c>
      <c r="H655" s="2" t="s">
        <v>10</v>
      </c>
      <c r="I655" s="2" t="s">
        <v>34</v>
      </c>
      <c r="J655" s="2" t="s">
        <v>58</v>
      </c>
      <c r="K655" s="3">
        <v>11.85</v>
      </c>
      <c r="L655" s="3">
        <v>1.42</v>
      </c>
    </row>
    <row r="656" spans="1:12" ht="20.100000000000001" customHeight="1" x14ac:dyDescent="0.25">
      <c r="A656" s="2" t="s">
        <v>15</v>
      </c>
      <c r="B656" s="2" t="s">
        <v>5</v>
      </c>
      <c r="C656" s="2" t="s">
        <v>339</v>
      </c>
      <c r="D656" s="2" t="s">
        <v>118</v>
      </c>
      <c r="E656" s="2" t="s">
        <v>724</v>
      </c>
      <c r="F656" s="2" t="s">
        <v>527</v>
      </c>
      <c r="G656" s="2" t="s">
        <v>33</v>
      </c>
      <c r="H656" s="2" t="s">
        <v>10</v>
      </c>
      <c r="I656" s="2" t="s">
        <v>34</v>
      </c>
      <c r="J656" s="2" t="s">
        <v>58</v>
      </c>
      <c r="K656" s="3">
        <v>10.8</v>
      </c>
      <c r="L656" s="3">
        <v>0.43</v>
      </c>
    </row>
    <row r="657" spans="1:12" ht="20.100000000000001" customHeight="1" x14ac:dyDescent="0.25">
      <c r="A657" s="2" t="s">
        <v>9</v>
      </c>
      <c r="B657" s="2" t="s">
        <v>5</v>
      </c>
      <c r="C657" s="2" t="s">
        <v>423</v>
      </c>
      <c r="D657" s="2" t="s">
        <v>37</v>
      </c>
      <c r="E657" s="2" t="s">
        <v>725</v>
      </c>
      <c r="F657" s="2" t="s">
        <v>634</v>
      </c>
      <c r="G657" s="2" t="s">
        <v>83</v>
      </c>
      <c r="H657" s="2" t="s">
        <v>10</v>
      </c>
      <c r="I657" s="2" t="s">
        <v>34</v>
      </c>
      <c r="J657" s="2" t="s">
        <v>267</v>
      </c>
      <c r="K657" s="3">
        <v>10.77</v>
      </c>
      <c r="L657" s="3">
        <v>0</v>
      </c>
    </row>
    <row r="658" spans="1:12" ht="20.100000000000001" customHeight="1" x14ac:dyDescent="0.25">
      <c r="A658" s="2" t="s">
        <v>15</v>
      </c>
      <c r="B658" s="2" t="s">
        <v>6</v>
      </c>
      <c r="C658" s="2" t="s">
        <v>117</v>
      </c>
      <c r="D658" s="2" t="s">
        <v>118</v>
      </c>
      <c r="E658" s="2" t="s">
        <v>726</v>
      </c>
      <c r="F658" s="2" t="s">
        <v>127</v>
      </c>
      <c r="G658" s="2" t="s">
        <v>33</v>
      </c>
      <c r="H658" s="2" t="s">
        <v>10</v>
      </c>
      <c r="I658" s="2" t="s">
        <v>34</v>
      </c>
      <c r="J658" s="2" t="s">
        <v>58</v>
      </c>
      <c r="K658" s="3">
        <v>10.23</v>
      </c>
      <c r="L658" s="3">
        <v>0.41</v>
      </c>
    </row>
    <row r="659" spans="1:12" ht="20.100000000000001" customHeight="1" x14ac:dyDescent="0.25">
      <c r="A659" s="2" t="s">
        <v>15</v>
      </c>
      <c r="B659" s="2" t="s">
        <v>6</v>
      </c>
      <c r="C659" s="2" t="s">
        <v>117</v>
      </c>
      <c r="D659" s="2" t="s">
        <v>118</v>
      </c>
      <c r="E659" s="2" t="s">
        <v>726</v>
      </c>
      <c r="F659" s="2" t="s">
        <v>127</v>
      </c>
      <c r="G659" s="2" t="s">
        <v>33</v>
      </c>
      <c r="H659" s="2" t="s">
        <v>10</v>
      </c>
      <c r="I659" s="2" t="s">
        <v>34</v>
      </c>
      <c r="J659" s="2" t="s">
        <v>58</v>
      </c>
      <c r="K659" s="3">
        <v>10.23</v>
      </c>
      <c r="L659" s="3">
        <v>0.41</v>
      </c>
    </row>
    <row r="660" spans="1:12" ht="20.100000000000001" customHeight="1" x14ac:dyDescent="0.25">
      <c r="A660" s="2" t="s">
        <v>9</v>
      </c>
      <c r="B660" s="2" t="s">
        <v>5</v>
      </c>
      <c r="C660" s="2" t="s">
        <v>423</v>
      </c>
      <c r="D660" s="2" t="s">
        <v>37</v>
      </c>
      <c r="E660" s="2" t="s">
        <v>727</v>
      </c>
      <c r="F660" s="2" t="s">
        <v>728</v>
      </c>
      <c r="G660" s="2" t="s">
        <v>83</v>
      </c>
      <c r="H660" s="2" t="s">
        <v>10</v>
      </c>
      <c r="I660" s="2" t="s">
        <v>34</v>
      </c>
      <c r="J660" s="2" t="s">
        <v>267</v>
      </c>
      <c r="K660" s="3">
        <v>9.6</v>
      </c>
      <c r="L660" s="3">
        <v>0</v>
      </c>
    </row>
    <row r="661" spans="1:12" ht="20.100000000000001" customHeight="1" x14ac:dyDescent="0.25">
      <c r="A661" s="2" t="s">
        <v>15</v>
      </c>
      <c r="B661" s="2" t="s">
        <v>2</v>
      </c>
      <c r="C661" s="2" t="s">
        <v>122</v>
      </c>
      <c r="D661" s="2" t="s">
        <v>30</v>
      </c>
      <c r="E661" s="2" t="s">
        <v>729</v>
      </c>
      <c r="F661" s="2" t="s">
        <v>32</v>
      </c>
      <c r="G661" s="2" t="s">
        <v>45</v>
      </c>
      <c r="H661" s="2" t="s">
        <v>10</v>
      </c>
      <c r="I661" s="2" t="s">
        <v>34</v>
      </c>
      <c r="J661" s="2" t="s">
        <v>58</v>
      </c>
      <c r="K661" s="3">
        <v>9.5</v>
      </c>
      <c r="L661" s="3">
        <v>0</v>
      </c>
    </row>
    <row r="662" spans="1:12" ht="20.100000000000001" customHeight="1" x14ac:dyDescent="0.25">
      <c r="A662" s="2" t="s">
        <v>15</v>
      </c>
      <c r="B662" s="2" t="s">
        <v>2</v>
      </c>
      <c r="C662" s="2" t="s">
        <v>122</v>
      </c>
      <c r="D662" s="2" t="s">
        <v>30</v>
      </c>
      <c r="E662" s="2" t="s">
        <v>729</v>
      </c>
      <c r="F662" s="2" t="s">
        <v>32</v>
      </c>
      <c r="G662" s="2" t="s">
        <v>45</v>
      </c>
      <c r="H662" s="2" t="s">
        <v>10</v>
      </c>
      <c r="I662" s="2" t="s">
        <v>34</v>
      </c>
      <c r="J662" s="2" t="s">
        <v>58</v>
      </c>
      <c r="K662" s="3">
        <v>9.5</v>
      </c>
      <c r="L662" s="3">
        <v>0</v>
      </c>
    </row>
    <row r="663" spans="1:12" ht="20.100000000000001" customHeight="1" x14ac:dyDescent="0.25">
      <c r="A663" s="2" t="s">
        <v>15</v>
      </c>
      <c r="B663" s="2" t="s">
        <v>2</v>
      </c>
      <c r="C663" s="2" t="s">
        <v>122</v>
      </c>
      <c r="D663" s="2" t="s">
        <v>30</v>
      </c>
      <c r="E663" s="2" t="s">
        <v>729</v>
      </c>
      <c r="F663" s="2" t="s">
        <v>32</v>
      </c>
      <c r="G663" s="2" t="s">
        <v>45</v>
      </c>
      <c r="H663" s="2" t="s">
        <v>10</v>
      </c>
      <c r="I663" s="2" t="s">
        <v>34</v>
      </c>
      <c r="J663" s="2" t="s">
        <v>58</v>
      </c>
      <c r="K663" s="3">
        <v>9.5</v>
      </c>
      <c r="L663" s="3">
        <v>0</v>
      </c>
    </row>
    <row r="664" spans="1:12" ht="20.100000000000001" customHeight="1" x14ac:dyDescent="0.25">
      <c r="A664" s="2" t="s">
        <v>15</v>
      </c>
      <c r="B664" s="2" t="s">
        <v>2</v>
      </c>
      <c r="C664" s="2" t="s">
        <v>122</v>
      </c>
      <c r="D664" s="2" t="s">
        <v>30</v>
      </c>
      <c r="E664" s="2" t="s">
        <v>730</v>
      </c>
      <c r="F664" s="2" t="s">
        <v>32</v>
      </c>
      <c r="G664" s="2" t="s">
        <v>45</v>
      </c>
      <c r="H664" s="2" t="s">
        <v>10</v>
      </c>
      <c r="I664" s="2" t="s">
        <v>34</v>
      </c>
      <c r="J664" s="2" t="s">
        <v>58</v>
      </c>
      <c r="K664" s="3">
        <v>9.5</v>
      </c>
      <c r="L664" s="3">
        <v>0</v>
      </c>
    </row>
    <row r="665" spans="1:12" ht="20.100000000000001" customHeight="1" x14ac:dyDescent="0.25">
      <c r="A665" s="2" t="s">
        <v>15</v>
      </c>
      <c r="B665" s="2" t="s">
        <v>2</v>
      </c>
      <c r="C665" s="2" t="s">
        <v>122</v>
      </c>
      <c r="D665" s="2" t="s">
        <v>30</v>
      </c>
      <c r="E665" s="2" t="s">
        <v>730</v>
      </c>
      <c r="F665" s="2" t="s">
        <v>32</v>
      </c>
      <c r="G665" s="2" t="s">
        <v>45</v>
      </c>
      <c r="H665" s="2" t="s">
        <v>10</v>
      </c>
      <c r="I665" s="2" t="s">
        <v>34</v>
      </c>
      <c r="J665" s="2" t="s">
        <v>58</v>
      </c>
      <c r="K665" s="3">
        <v>9.5</v>
      </c>
      <c r="L665" s="3">
        <v>0</v>
      </c>
    </row>
    <row r="666" spans="1:12" ht="20.100000000000001" customHeight="1" x14ac:dyDescent="0.25">
      <c r="A666" s="2" t="s">
        <v>15</v>
      </c>
      <c r="B666" s="2" t="s">
        <v>2</v>
      </c>
      <c r="C666" s="2" t="s">
        <v>122</v>
      </c>
      <c r="D666" s="2" t="s">
        <v>30</v>
      </c>
      <c r="E666" s="2" t="s">
        <v>730</v>
      </c>
      <c r="F666" s="2" t="s">
        <v>32</v>
      </c>
      <c r="G666" s="2" t="s">
        <v>45</v>
      </c>
      <c r="H666" s="2" t="s">
        <v>10</v>
      </c>
      <c r="I666" s="2" t="s">
        <v>34</v>
      </c>
      <c r="J666" s="2" t="s">
        <v>58</v>
      </c>
      <c r="K666" s="3">
        <v>9.5</v>
      </c>
      <c r="L666" s="3">
        <v>0</v>
      </c>
    </row>
    <row r="667" spans="1:12" ht="20.100000000000001" customHeight="1" x14ac:dyDescent="0.25">
      <c r="A667" s="2" t="s">
        <v>15</v>
      </c>
      <c r="B667" s="2" t="s">
        <v>2</v>
      </c>
      <c r="C667" s="2" t="s">
        <v>122</v>
      </c>
      <c r="D667" s="2" t="s">
        <v>30</v>
      </c>
      <c r="E667" s="2" t="s">
        <v>731</v>
      </c>
      <c r="F667" s="2" t="s">
        <v>32</v>
      </c>
      <c r="G667" s="2" t="s">
        <v>45</v>
      </c>
      <c r="H667" s="2" t="s">
        <v>10</v>
      </c>
      <c r="I667" s="2" t="s">
        <v>34</v>
      </c>
      <c r="J667" s="2" t="s">
        <v>58</v>
      </c>
      <c r="K667" s="3">
        <v>9.5</v>
      </c>
      <c r="L667" s="3">
        <v>0</v>
      </c>
    </row>
    <row r="668" spans="1:12" ht="20.100000000000001" customHeight="1" x14ac:dyDescent="0.25">
      <c r="A668" s="2" t="s">
        <v>15</v>
      </c>
      <c r="B668" s="2" t="s">
        <v>2</v>
      </c>
      <c r="C668" s="2" t="s">
        <v>122</v>
      </c>
      <c r="D668" s="2" t="s">
        <v>30</v>
      </c>
      <c r="E668" s="2" t="s">
        <v>731</v>
      </c>
      <c r="F668" s="2" t="s">
        <v>32</v>
      </c>
      <c r="G668" s="2" t="s">
        <v>45</v>
      </c>
      <c r="H668" s="2" t="s">
        <v>10</v>
      </c>
      <c r="I668" s="2" t="s">
        <v>34</v>
      </c>
      <c r="J668" s="2" t="s">
        <v>58</v>
      </c>
      <c r="K668" s="3">
        <v>9.5</v>
      </c>
      <c r="L668" s="3">
        <v>0</v>
      </c>
    </row>
    <row r="669" spans="1:12" ht="20.100000000000001" customHeight="1" x14ac:dyDescent="0.25">
      <c r="A669" s="2" t="s">
        <v>15</v>
      </c>
      <c r="B669" s="2" t="s">
        <v>2</v>
      </c>
      <c r="C669" s="2" t="s">
        <v>122</v>
      </c>
      <c r="D669" s="2" t="s">
        <v>30</v>
      </c>
      <c r="E669" s="2" t="s">
        <v>731</v>
      </c>
      <c r="F669" s="2" t="s">
        <v>32</v>
      </c>
      <c r="G669" s="2" t="s">
        <v>45</v>
      </c>
      <c r="H669" s="2" t="s">
        <v>10</v>
      </c>
      <c r="I669" s="2" t="s">
        <v>34</v>
      </c>
      <c r="J669" s="2" t="s">
        <v>58</v>
      </c>
      <c r="K669" s="3">
        <v>9.5</v>
      </c>
      <c r="L669" s="3">
        <v>0</v>
      </c>
    </row>
    <row r="670" spans="1:12" ht="20.100000000000001" customHeight="1" x14ac:dyDescent="0.25">
      <c r="A670" s="2" t="s">
        <v>15</v>
      </c>
      <c r="B670" s="2" t="s">
        <v>2</v>
      </c>
      <c r="C670" s="2" t="s">
        <v>122</v>
      </c>
      <c r="D670" s="2" t="s">
        <v>30</v>
      </c>
      <c r="E670" s="2" t="s">
        <v>732</v>
      </c>
      <c r="F670" s="2" t="s">
        <v>32</v>
      </c>
      <c r="G670" s="2" t="s">
        <v>45</v>
      </c>
      <c r="H670" s="2" t="s">
        <v>10</v>
      </c>
      <c r="I670" s="2" t="s">
        <v>34</v>
      </c>
      <c r="J670" s="2" t="s">
        <v>58</v>
      </c>
      <c r="K670" s="3">
        <v>9.5</v>
      </c>
      <c r="L670" s="3">
        <v>0</v>
      </c>
    </row>
    <row r="671" spans="1:12" ht="20.100000000000001" customHeight="1" x14ac:dyDescent="0.25">
      <c r="A671" s="2" t="s">
        <v>15</v>
      </c>
      <c r="B671" s="2" t="s">
        <v>2</v>
      </c>
      <c r="C671" s="2" t="s">
        <v>122</v>
      </c>
      <c r="D671" s="2" t="s">
        <v>30</v>
      </c>
      <c r="E671" s="2" t="s">
        <v>732</v>
      </c>
      <c r="F671" s="2" t="s">
        <v>32</v>
      </c>
      <c r="G671" s="2" t="s">
        <v>45</v>
      </c>
      <c r="H671" s="2" t="s">
        <v>10</v>
      </c>
      <c r="I671" s="2" t="s">
        <v>34</v>
      </c>
      <c r="J671" s="2" t="s">
        <v>58</v>
      </c>
      <c r="K671" s="3">
        <v>9.5</v>
      </c>
      <c r="L671" s="3">
        <v>0</v>
      </c>
    </row>
    <row r="672" spans="1:12" ht="20.100000000000001" customHeight="1" x14ac:dyDescent="0.25">
      <c r="A672" s="2" t="s">
        <v>15</v>
      </c>
      <c r="B672" s="2" t="s">
        <v>2</v>
      </c>
      <c r="C672" s="2" t="s">
        <v>122</v>
      </c>
      <c r="D672" s="2" t="s">
        <v>30</v>
      </c>
      <c r="E672" s="2" t="s">
        <v>732</v>
      </c>
      <c r="F672" s="2" t="s">
        <v>32</v>
      </c>
      <c r="G672" s="2" t="s">
        <v>45</v>
      </c>
      <c r="H672" s="2" t="s">
        <v>10</v>
      </c>
      <c r="I672" s="2" t="s">
        <v>34</v>
      </c>
      <c r="J672" s="2" t="s">
        <v>58</v>
      </c>
      <c r="K672" s="3">
        <v>9.5</v>
      </c>
      <c r="L672" s="3">
        <v>0</v>
      </c>
    </row>
    <row r="673" spans="1:12" ht="20.100000000000001" customHeight="1" x14ac:dyDescent="0.25">
      <c r="A673" s="2" t="s">
        <v>15</v>
      </c>
      <c r="B673" s="2" t="s">
        <v>2</v>
      </c>
      <c r="C673" s="2" t="s">
        <v>122</v>
      </c>
      <c r="D673" s="2" t="s">
        <v>30</v>
      </c>
      <c r="E673" s="2" t="s">
        <v>733</v>
      </c>
      <c r="F673" s="2" t="s">
        <v>32</v>
      </c>
      <c r="G673" s="2" t="s">
        <v>45</v>
      </c>
      <c r="H673" s="2" t="s">
        <v>10</v>
      </c>
      <c r="I673" s="2" t="s">
        <v>34</v>
      </c>
      <c r="J673" s="2" t="s">
        <v>58</v>
      </c>
      <c r="K673" s="3">
        <v>9.5</v>
      </c>
      <c r="L673" s="3">
        <v>0</v>
      </c>
    </row>
    <row r="674" spans="1:12" ht="20.100000000000001" customHeight="1" x14ac:dyDescent="0.25">
      <c r="A674" s="2" t="s">
        <v>15</v>
      </c>
      <c r="B674" s="2" t="s">
        <v>2</v>
      </c>
      <c r="C674" s="2" t="s">
        <v>122</v>
      </c>
      <c r="D674" s="2" t="s">
        <v>30</v>
      </c>
      <c r="E674" s="2" t="s">
        <v>733</v>
      </c>
      <c r="F674" s="2" t="s">
        <v>32</v>
      </c>
      <c r="G674" s="2" t="s">
        <v>45</v>
      </c>
      <c r="H674" s="2" t="s">
        <v>10</v>
      </c>
      <c r="I674" s="2" t="s">
        <v>34</v>
      </c>
      <c r="J674" s="2" t="s">
        <v>58</v>
      </c>
      <c r="K674" s="3">
        <v>9.5</v>
      </c>
      <c r="L674" s="3">
        <v>0</v>
      </c>
    </row>
    <row r="675" spans="1:12" ht="20.100000000000001" customHeight="1" x14ac:dyDescent="0.25">
      <c r="A675" s="2" t="s">
        <v>15</v>
      </c>
      <c r="B675" s="2" t="s">
        <v>2</v>
      </c>
      <c r="C675" s="2" t="s">
        <v>122</v>
      </c>
      <c r="D675" s="2" t="s">
        <v>30</v>
      </c>
      <c r="E675" s="2" t="s">
        <v>733</v>
      </c>
      <c r="F675" s="2" t="s">
        <v>32</v>
      </c>
      <c r="G675" s="2" t="s">
        <v>45</v>
      </c>
      <c r="H675" s="2" t="s">
        <v>10</v>
      </c>
      <c r="I675" s="2" t="s">
        <v>34</v>
      </c>
      <c r="J675" s="2" t="s">
        <v>58</v>
      </c>
      <c r="K675" s="3">
        <v>9.5</v>
      </c>
      <c r="L675" s="3">
        <v>0</v>
      </c>
    </row>
    <row r="676" spans="1:12" ht="20.100000000000001" customHeight="1" x14ac:dyDescent="0.25">
      <c r="A676" s="2" t="s">
        <v>15</v>
      </c>
      <c r="B676" s="2" t="s">
        <v>2</v>
      </c>
      <c r="C676" s="2" t="s">
        <v>238</v>
      </c>
      <c r="D676" s="2" t="s">
        <v>30</v>
      </c>
      <c r="E676" s="2" t="s">
        <v>734</v>
      </c>
      <c r="F676" s="2" t="s">
        <v>369</v>
      </c>
      <c r="G676" s="2" t="s">
        <v>120</v>
      </c>
      <c r="H676" s="2" t="s">
        <v>10</v>
      </c>
      <c r="I676" s="2" t="s">
        <v>34</v>
      </c>
      <c r="J676" s="2" t="s">
        <v>237</v>
      </c>
      <c r="K676" s="3">
        <v>9.1199999999999992</v>
      </c>
      <c r="L676" s="3">
        <v>0.36</v>
      </c>
    </row>
    <row r="677" spans="1:12" ht="20.100000000000001" customHeight="1" x14ac:dyDescent="0.25">
      <c r="A677" s="2" t="s">
        <v>15</v>
      </c>
      <c r="B677" s="2" t="s">
        <v>5</v>
      </c>
      <c r="C677" s="2" t="s">
        <v>339</v>
      </c>
      <c r="D677" s="2" t="s">
        <v>118</v>
      </c>
      <c r="E677" s="2" t="s">
        <v>735</v>
      </c>
      <c r="F677" s="2" t="s">
        <v>527</v>
      </c>
      <c r="G677" s="2" t="s">
        <v>33</v>
      </c>
      <c r="H677" s="2" t="s">
        <v>10</v>
      </c>
      <c r="I677" s="2" t="s">
        <v>34</v>
      </c>
      <c r="J677" s="2" t="s">
        <v>58</v>
      </c>
      <c r="K677" s="3">
        <v>8.1</v>
      </c>
      <c r="L677" s="3">
        <v>0.32</v>
      </c>
    </row>
    <row r="678" spans="1:12" ht="20.100000000000001" customHeight="1" x14ac:dyDescent="0.25">
      <c r="A678" s="2" t="s">
        <v>15</v>
      </c>
      <c r="B678" s="2" t="s">
        <v>5</v>
      </c>
      <c r="C678" s="2" t="s">
        <v>339</v>
      </c>
      <c r="D678" s="2" t="s">
        <v>118</v>
      </c>
      <c r="E678" s="2" t="s">
        <v>736</v>
      </c>
      <c r="F678" s="2" t="s">
        <v>737</v>
      </c>
      <c r="G678" s="2" t="s">
        <v>33</v>
      </c>
      <c r="H678" s="2" t="s">
        <v>10</v>
      </c>
      <c r="I678" s="2" t="s">
        <v>34</v>
      </c>
      <c r="J678" s="2" t="s">
        <v>58</v>
      </c>
      <c r="K678" s="3">
        <v>8.02</v>
      </c>
      <c r="L678" s="3">
        <v>0.32</v>
      </c>
    </row>
    <row r="679" spans="1:12" ht="20.100000000000001" customHeight="1" x14ac:dyDescent="0.25">
      <c r="A679" s="2" t="s">
        <v>15</v>
      </c>
      <c r="B679" s="2" t="s">
        <v>5</v>
      </c>
      <c r="C679" s="2" t="s">
        <v>339</v>
      </c>
      <c r="D679" s="2" t="s">
        <v>118</v>
      </c>
      <c r="E679" s="2" t="s">
        <v>738</v>
      </c>
      <c r="F679" s="2" t="s">
        <v>737</v>
      </c>
      <c r="G679" s="2" t="s">
        <v>33</v>
      </c>
      <c r="H679" s="2" t="s">
        <v>10</v>
      </c>
      <c r="I679" s="2" t="s">
        <v>34</v>
      </c>
      <c r="J679" s="2" t="s">
        <v>58</v>
      </c>
      <c r="K679" s="3">
        <v>7.89</v>
      </c>
      <c r="L679" s="3">
        <v>0.32</v>
      </c>
    </row>
    <row r="680" spans="1:12" ht="20.100000000000001" customHeight="1" x14ac:dyDescent="0.25">
      <c r="A680" s="2" t="s">
        <v>15</v>
      </c>
      <c r="B680" s="2" t="s">
        <v>5</v>
      </c>
      <c r="C680" s="2" t="s">
        <v>339</v>
      </c>
      <c r="D680" s="2" t="s">
        <v>118</v>
      </c>
      <c r="E680" s="2" t="s">
        <v>739</v>
      </c>
      <c r="F680" s="2" t="s">
        <v>616</v>
      </c>
      <c r="G680" s="2" t="s">
        <v>33</v>
      </c>
      <c r="H680" s="2" t="s">
        <v>10</v>
      </c>
      <c r="I680" s="2" t="s">
        <v>34</v>
      </c>
      <c r="J680" s="2" t="s">
        <v>58</v>
      </c>
      <c r="K680" s="3">
        <v>7.45</v>
      </c>
      <c r="L680" s="3">
        <v>0.3</v>
      </c>
    </row>
    <row r="681" spans="1:12" ht="20.100000000000001" customHeight="1" x14ac:dyDescent="0.25">
      <c r="A681" s="2" t="s">
        <v>15</v>
      </c>
      <c r="B681" s="2" t="s">
        <v>5</v>
      </c>
      <c r="C681" s="2" t="s">
        <v>238</v>
      </c>
      <c r="D681" s="2" t="s">
        <v>30</v>
      </c>
      <c r="E681" s="2" t="s">
        <v>701</v>
      </c>
      <c r="F681" s="2" t="s">
        <v>369</v>
      </c>
      <c r="G681" s="2" t="s">
        <v>120</v>
      </c>
      <c r="H681" s="2" t="s">
        <v>10</v>
      </c>
      <c r="I681" s="2" t="s">
        <v>34</v>
      </c>
      <c r="J681" s="2" t="s">
        <v>237</v>
      </c>
      <c r="K681" s="3">
        <v>7.15</v>
      </c>
      <c r="L681" s="3">
        <v>0.28999999999999998</v>
      </c>
    </row>
    <row r="682" spans="1:12" ht="20.100000000000001" customHeight="1" x14ac:dyDescent="0.25">
      <c r="A682" s="2" t="s">
        <v>9</v>
      </c>
      <c r="B682" s="2" t="s">
        <v>5</v>
      </c>
      <c r="C682" s="2" t="s">
        <v>423</v>
      </c>
      <c r="D682" s="2" t="s">
        <v>37</v>
      </c>
      <c r="E682" s="2" t="s">
        <v>740</v>
      </c>
      <c r="F682" s="2" t="s">
        <v>728</v>
      </c>
      <c r="G682" s="2" t="s">
        <v>83</v>
      </c>
      <c r="H682" s="2" t="s">
        <v>10</v>
      </c>
      <c r="I682" s="2" t="s">
        <v>34</v>
      </c>
      <c r="J682" s="2" t="s">
        <v>267</v>
      </c>
      <c r="K682" s="3">
        <v>5.29</v>
      </c>
      <c r="L682" s="3">
        <v>0</v>
      </c>
    </row>
    <row r="683" spans="1:12" ht="20.100000000000001" customHeight="1" x14ac:dyDescent="0.25">
      <c r="A683" s="2" t="s">
        <v>15</v>
      </c>
      <c r="B683" s="2" t="s">
        <v>2</v>
      </c>
      <c r="C683" s="2" t="s">
        <v>66</v>
      </c>
      <c r="D683" s="2" t="s">
        <v>63</v>
      </c>
      <c r="E683" s="2" t="s">
        <v>741</v>
      </c>
      <c r="F683" s="2" t="s">
        <v>65</v>
      </c>
      <c r="G683" s="2" t="s">
        <v>45</v>
      </c>
      <c r="H683" s="2" t="s">
        <v>10</v>
      </c>
      <c r="I683" s="2" t="s">
        <v>34</v>
      </c>
      <c r="J683" s="2" t="s">
        <v>46</v>
      </c>
      <c r="K683" s="3">
        <v>5.15</v>
      </c>
      <c r="L683" s="3">
        <v>0.62</v>
      </c>
    </row>
    <row r="684" spans="1:12" ht="20.100000000000001" customHeight="1" x14ac:dyDescent="0.25">
      <c r="A684" s="2" t="s">
        <v>15</v>
      </c>
      <c r="B684" s="2" t="s">
        <v>2</v>
      </c>
      <c r="C684" s="2" t="s">
        <v>62</v>
      </c>
      <c r="D684" s="2" t="s">
        <v>63</v>
      </c>
      <c r="E684" s="2" t="s">
        <v>742</v>
      </c>
      <c r="F684" s="2" t="s">
        <v>65</v>
      </c>
      <c r="G684" s="2" t="s">
        <v>45</v>
      </c>
      <c r="H684" s="2" t="s">
        <v>10</v>
      </c>
      <c r="I684" s="2" t="s">
        <v>34</v>
      </c>
      <c r="J684" s="2" t="s">
        <v>41</v>
      </c>
      <c r="K684" s="3">
        <v>4.8</v>
      </c>
      <c r="L684" s="3">
        <v>0.57999999999999996</v>
      </c>
    </row>
    <row r="685" spans="1:12" ht="20.100000000000001" customHeight="1" x14ac:dyDescent="0.25">
      <c r="A685" s="2" t="s">
        <v>9</v>
      </c>
      <c r="B685" s="2" t="s">
        <v>5</v>
      </c>
      <c r="C685" s="2" t="s">
        <v>423</v>
      </c>
      <c r="D685" s="2" t="s">
        <v>37</v>
      </c>
      <c r="E685" s="2" t="s">
        <v>743</v>
      </c>
      <c r="F685" s="2" t="s">
        <v>711</v>
      </c>
      <c r="G685" s="2" t="s">
        <v>83</v>
      </c>
      <c r="H685" s="2" t="s">
        <v>10</v>
      </c>
      <c r="I685" s="2" t="s">
        <v>34</v>
      </c>
      <c r="J685" s="2" t="s">
        <v>267</v>
      </c>
      <c r="K685" s="3">
        <v>2.14</v>
      </c>
      <c r="L685" s="3">
        <v>0</v>
      </c>
    </row>
    <row r="686" spans="1:12" ht="20.100000000000001" customHeight="1" x14ac:dyDescent="0.25">
      <c r="A686" s="2" t="s">
        <v>9</v>
      </c>
      <c r="B686" s="2" t="s">
        <v>5</v>
      </c>
      <c r="C686" s="2" t="s">
        <v>423</v>
      </c>
      <c r="D686" s="2" t="s">
        <v>37</v>
      </c>
      <c r="E686" s="2" t="s">
        <v>743</v>
      </c>
      <c r="F686" s="2" t="s">
        <v>711</v>
      </c>
      <c r="G686" s="2" t="s">
        <v>83</v>
      </c>
      <c r="H686" s="2" t="s">
        <v>10</v>
      </c>
      <c r="I686" s="2" t="s">
        <v>34</v>
      </c>
      <c r="J686" s="2" t="s">
        <v>267</v>
      </c>
      <c r="K686" s="3">
        <v>2.0299999999999998</v>
      </c>
      <c r="L686" s="3">
        <v>0</v>
      </c>
    </row>
    <row r="687" spans="1:12" ht="20.100000000000001" customHeight="1" x14ac:dyDescent="0.25">
      <c r="A687" s="2" t="s">
        <v>15</v>
      </c>
      <c r="B687" s="2" t="s">
        <v>3</v>
      </c>
      <c r="C687" s="2" t="s">
        <v>88</v>
      </c>
      <c r="D687" s="2" t="s">
        <v>30</v>
      </c>
      <c r="E687" s="2" t="s">
        <v>744</v>
      </c>
      <c r="F687" s="2" t="s">
        <v>745</v>
      </c>
      <c r="G687" s="2" t="s">
        <v>33</v>
      </c>
      <c r="H687" s="2" t="s">
        <v>10</v>
      </c>
      <c r="I687" s="2" t="s">
        <v>34</v>
      </c>
      <c r="J687" s="2" t="s">
        <v>58</v>
      </c>
      <c r="K687" s="3">
        <v>1</v>
      </c>
      <c r="L687" s="3">
        <v>0.12</v>
      </c>
    </row>
    <row r="688" spans="1:12" ht="20.100000000000001" customHeight="1" x14ac:dyDescent="0.25">
      <c r="A688" s="2" t="s">
        <v>9</v>
      </c>
      <c r="B688" s="2" t="s">
        <v>5</v>
      </c>
      <c r="C688" s="2" t="s">
        <v>423</v>
      </c>
      <c r="D688" s="2" t="s">
        <v>37</v>
      </c>
      <c r="E688" s="2" t="s">
        <v>710</v>
      </c>
      <c r="F688" s="2" t="s">
        <v>711</v>
      </c>
      <c r="G688" s="2" t="s">
        <v>83</v>
      </c>
      <c r="H688" s="2" t="s">
        <v>10</v>
      </c>
      <c r="I688" s="2" t="s">
        <v>34</v>
      </c>
      <c r="J688" s="2" t="s">
        <v>267</v>
      </c>
      <c r="K688" s="3">
        <v>0.12</v>
      </c>
      <c r="L688" s="3">
        <v>0</v>
      </c>
    </row>
    <row r="689" spans="1:16" ht="20.100000000000001" customHeight="1" x14ac:dyDescent="0.25">
      <c r="A689" s="2" t="s">
        <v>9</v>
      </c>
      <c r="B689" s="2" t="s">
        <v>5</v>
      </c>
      <c r="C689" s="2" t="s">
        <v>423</v>
      </c>
      <c r="D689" s="2" t="s">
        <v>37</v>
      </c>
      <c r="E689" s="2" t="s">
        <v>710</v>
      </c>
      <c r="F689" s="2" t="s">
        <v>711</v>
      </c>
      <c r="G689" s="2" t="s">
        <v>83</v>
      </c>
      <c r="H689" s="2" t="s">
        <v>10</v>
      </c>
      <c r="I689" s="2" t="s">
        <v>34</v>
      </c>
      <c r="J689" s="2" t="s">
        <v>267</v>
      </c>
      <c r="K689" s="3">
        <v>0.12</v>
      </c>
      <c r="L689" s="3">
        <v>0</v>
      </c>
    </row>
    <row r="694" spans="1:16" ht="20.100000000000001" customHeight="1" x14ac:dyDescent="0.25">
      <c r="A694" s="1" t="s">
        <v>746</v>
      </c>
      <c r="B694" s="1" t="s">
        <v>1</v>
      </c>
      <c r="C694" s="1" t="s">
        <v>2</v>
      </c>
      <c r="D694" s="1" t="s">
        <v>3</v>
      </c>
      <c r="E694" s="1" t="s">
        <v>4</v>
      </c>
      <c r="F694" s="1" t="s">
        <v>5</v>
      </c>
      <c r="G694" s="1" t="s">
        <v>6</v>
      </c>
      <c r="H694" s="1" t="s">
        <v>7</v>
      </c>
      <c r="I694" s="1" t="s">
        <v>8</v>
      </c>
      <c r="K694" s="1" t="s">
        <v>0</v>
      </c>
      <c r="L694" s="1" t="s">
        <v>1</v>
      </c>
      <c r="M694" s="1" t="s">
        <v>16</v>
      </c>
      <c r="N694" s="1" t="s">
        <v>17</v>
      </c>
      <c r="O694" s="1" t="s">
        <v>18</v>
      </c>
      <c r="P694" s="1" t="s">
        <v>19</v>
      </c>
    </row>
    <row r="695" spans="1:16" ht="20.100000000000001" customHeight="1" x14ac:dyDescent="0.25">
      <c r="A695" s="2" t="s">
        <v>9</v>
      </c>
      <c r="B695" s="2" t="s">
        <v>10</v>
      </c>
      <c r="C695" s="3">
        <f>SUMIFS([1]Base_Classificada!$K:$K,[1]Base_Classificada!$A:$A,$A695,[1]Base_Classificada!$H:$H,$B695,[1]Base_Classificada!$B:$B,C$694)</f>
        <v>11929.07</v>
      </c>
      <c r="D695" s="3">
        <f>SUMIFS([1]Base_Classificada!$K:$K,[1]Base_Classificada!$A:$A,$A695,[1]Base_Classificada!$H:$H,$B695,[1]Base_Classificada!$B:$B,D$694)</f>
        <v>19048.260000000002</v>
      </c>
      <c r="E695" s="3">
        <f>SUMIFS([1]Base_Classificada!$K:$K,[1]Base_Classificada!$A:$A,$A695,[1]Base_Classificada!$H:$H,$B695,[1]Base_Classificada!$B:$B,E$694)</f>
        <v>198.45</v>
      </c>
      <c r="F695" s="3">
        <f>SUMIFS([1]Base_Classificada!$K:$K,[1]Base_Classificada!$A:$A,$A695,[1]Base_Classificada!$H:$H,$B695,[1]Base_Classificada!$B:$B,F$694)</f>
        <v>494.77</v>
      </c>
      <c r="G695" s="3">
        <f>SUMIFS([1]Base_Classificada!$K:$K,[1]Base_Classificada!$A:$A,$A695,[1]Base_Classificada!$H:$H,$B695,[1]Base_Classificada!$B:$B,G$694)</f>
        <v>0</v>
      </c>
      <c r="H695" s="3">
        <f>SUMIFS([1]Base_Classificada!$K:$K,[1]Base_Classificada!$A:$A,$A695,[1]Base_Classificada!$H:$H,$B695,[1]Base_Classificada!$B:$B,H$694)</f>
        <v>1336.3200000000002</v>
      </c>
      <c r="I695" s="3">
        <f>SUM(C695:H695)</f>
        <v>33006.870000000003</v>
      </c>
      <c r="K695" s="2" t="s">
        <v>9</v>
      </c>
      <c r="L695" s="2" t="s">
        <v>10</v>
      </c>
      <c r="M695" s="3">
        <f>SUMIFS([1]Base_Classificada!$K:$K,[1]Base_Classificada!$A:$A,K695,[1]Base_Classificada!$H:$H,L695)</f>
        <v>33006.87000000001</v>
      </c>
      <c r="N695" s="3">
        <f>SUMIFS([1]Base_Classificada!$L:$L,[1]Base_Classificada!$A:$A,K695,[1]Base_Classificada!$H:$H,L695)</f>
        <v>2298.48</v>
      </c>
      <c r="O695" s="6">
        <f t="shared" ref="O695:O700" si="0">IFERROR(N695/M695,0)</f>
        <v>6.9636412056035588E-2</v>
      </c>
      <c r="P695" s="3"/>
    </row>
    <row r="696" spans="1:16" ht="20.100000000000001" customHeight="1" x14ac:dyDescent="0.25">
      <c r="A696" s="2" t="s">
        <v>9</v>
      </c>
      <c r="B696" s="2" t="s">
        <v>11</v>
      </c>
      <c r="C696" s="3">
        <f>SUMIFS([1]Base_Classificada!$K:$K,[1]Base_Classificada!$A:$A,$A696,[1]Base_Classificada!$H:$H,$B696,[1]Base_Classificada!$B:$B,C$694)</f>
        <v>169231.61000000002</v>
      </c>
      <c r="D696" s="3">
        <f>SUMIFS([1]Base_Classificada!$K:$K,[1]Base_Classificada!$A:$A,$A696,[1]Base_Classificada!$H:$H,$B696,[1]Base_Classificada!$B:$B,D$694)</f>
        <v>117235.11000000002</v>
      </c>
      <c r="E696" s="3">
        <f>SUMIFS([1]Base_Classificada!$K:$K,[1]Base_Classificada!$A:$A,$A696,[1]Base_Classificada!$H:$H,$B696,[1]Base_Classificada!$B:$B,E$694)</f>
        <v>71914.539999999994</v>
      </c>
      <c r="F696" s="3">
        <f>SUMIFS([1]Base_Classificada!$K:$K,[1]Base_Classificada!$A:$A,$A696,[1]Base_Classificada!$H:$H,$B696,[1]Base_Classificada!$B:$B,F$694)</f>
        <v>24472</v>
      </c>
      <c r="G696" s="3">
        <f>SUMIFS([1]Base_Classificada!$K:$K,[1]Base_Classificada!$A:$A,$A696,[1]Base_Classificada!$H:$H,$B696,[1]Base_Classificada!$B:$B,G$694)</f>
        <v>248169.97999999998</v>
      </c>
      <c r="H696" s="3">
        <f>SUMIFS([1]Base_Classificada!$K:$K,[1]Base_Classificada!$A:$A,$A696,[1]Base_Classificada!$H:$H,$B696,[1]Base_Classificada!$B:$B,H$694)</f>
        <v>246757.71000000011</v>
      </c>
      <c r="I696" s="3">
        <f>SUM(C696:H696)</f>
        <v>877780.95000000007</v>
      </c>
      <c r="K696" s="2" t="s">
        <v>9</v>
      </c>
      <c r="L696" s="2" t="s">
        <v>11</v>
      </c>
      <c r="M696" s="3">
        <f>SUMIFS([1]Base_Classificada!$K:$K,[1]Base_Classificada!$A:$A,K696,[1]Base_Classificada!$H:$H,L696)</f>
        <v>877780.95000000007</v>
      </c>
      <c r="N696" s="3">
        <f>SUMIFS([1]Base_Classificada!$L:$L,[1]Base_Classificada!$A:$A,K696,[1]Base_Classificada!$H:$H,L696)</f>
        <v>61945.790000000045</v>
      </c>
      <c r="O696" s="6">
        <f t="shared" si="0"/>
        <v>7.0570898126690998E-2</v>
      </c>
      <c r="P696" s="3"/>
    </row>
    <row r="697" spans="1:16" ht="20.100000000000001" customHeight="1" x14ac:dyDescent="0.25">
      <c r="A697" s="2" t="s">
        <v>9</v>
      </c>
      <c r="B697" s="2" t="s">
        <v>12</v>
      </c>
      <c r="C697" s="3">
        <f>SUMIFS([1]Base_Classificada!$K:$K,[1]Base_Classificada!$A:$A,$A697,[1]Base_Classificada!$H:$H,$B697,[1]Base_Classificada!$B:$B,C$694)</f>
        <v>6521.5099999999939</v>
      </c>
      <c r="D697" s="3">
        <f>SUMIFS([1]Base_Classificada!$K:$K,[1]Base_Classificada!$A:$A,$A697,[1]Base_Classificada!$H:$H,$B697,[1]Base_Classificada!$B:$B,D$694)</f>
        <v>7152.3399999999956</v>
      </c>
      <c r="E697" s="3">
        <f>SUMIFS([1]Base_Classificada!$K:$K,[1]Base_Classificada!$A:$A,$A697,[1]Base_Classificada!$H:$H,$B697,[1]Base_Classificada!$B:$B,E$694)</f>
        <v>5083.8799999999974</v>
      </c>
      <c r="F697" s="3">
        <f>SUMIFS([1]Base_Classificada!$K:$K,[1]Base_Classificada!$A:$A,$A697,[1]Base_Classificada!$H:$H,$B697,[1]Base_Classificada!$B:$B,F$694)</f>
        <v>9055.8799999999846</v>
      </c>
      <c r="G697" s="3">
        <f>SUMIFS([1]Base_Classificada!$K:$K,[1]Base_Classificada!$A:$A,$A697,[1]Base_Classificada!$H:$H,$B697,[1]Base_Classificada!$B:$B,G$694)</f>
        <v>6509.13</v>
      </c>
      <c r="H697" s="3">
        <f>SUMIFS([1]Base_Classificada!$K:$K,[1]Base_Classificada!$A:$A,$A697,[1]Base_Classificada!$H:$H,$B697,[1]Base_Classificada!$B:$B,H$694)</f>
        <v>6181.8999999999905</v>
      </c>
      <c r="I697" s="3">
        <f>SUM(C697:H697)</f>
        <v>40504.639999999956</v>
      </c>
      <c r="K697" s="2" t="s">
        <v>9</v>
      </c>
      <c r="L697" s="2" t="s">
        <v>12</v>
      </c>
      <c r="M697" s="3">
        <f>SUMIFS([1]Base_Classificada!$K:$K,[1]Base_Classificada!$A:$A,K697,[1]Base_Classificada!$H:$H,L697)</f>
        <v>40504.640000000029</v>
      </c>
      <c r="N697" s="3">
        <f>SUMIFS([1]Base_Classificada!$L:$L,[1]Base_Classificada!$A:$A,K697,[1]Base_Classificada!$H:$H,L697)</f>
        <v>512.0999999999998</v>
      </c>
      <c r="O697" s="6">
        <f t="shared" si="0"/>
        <v>1.264299596293164E-2</v>
      </c>
      <c r="P697" s="3"/>
    </row>
    <row r="698" spans="1:16" ht="20.100000000000001" customHeight="1" x14ac:dyDescent="0.25">
      <c r="A698" s="2" t="s">
        <v>9</v>
      </c>
      <c r="B698" s="2" t="s">
        <v>13</v>
      </c>
      <c r="C698" s="3">
        <f>SUMIFS([1]Base_Classificada!$K:$K,[1]Base_Classificada!$A:$A,$A698,[1]Base_Classificada!$H:$H,$B698,[1]Base_Classificada!$B:$B,C$694)</f>
        <v>224.07</v>
      </c>
      <c r="D698" s="3">
        <f>SUMIFS([1]Base_Classificada!$K:$K,[1]Base_Classificada!$A:$A,$A698,[1]Base_Classificada!$H:$H,$B698,[1]Base_Classificada!$B:$B,D$694)</f>
        <v>494.55999999999995</v>
      </c>
      <c r="E698" s="3">
        <f>SUMIFS([1]Base_Classificada!$K:$K,[1]Base_Classificada!$A:$A,$A698,[1]Base_Classificada!$H:$H,$B698,[1]Base_Classificada!$B:$B,E$694)</f>
        <v>0</v>
      </c>
      <c r="F698" s="3">
        <f>SUMIFS([1]Base_Classificada!$K:$K,[1]Base_Classificada!$A:$A,$A698,[1]Base_Classificada!$H:$H,$B698,[1]Base_Classificada!$B:$B,F$694)</f>
        <v>22.9</v>
      </c>
      <c r="G698" s="3">
        <f>SUMIFS([1]Base_Classificada!$K:$K,[1]Base_Classificada!$A:$A,$A698,[1]Base_Classificada!$H:$H,$B698,[1]Base_Classificada!$B:$B,G$694)</f>
        <v>1979.85</v>
      </c>
      <c r="H698" s="3">
        <f>SUMIFS([1]Base_Classificada!$K:$K,[1]Base_Classificada!$A:$A,$A698,[1]Base_Classificada!$H:$H,$B698,[1]Base_Classificada!$B:$B,H$694)</f>
        <v>4239.8900000000003</v>
      </c>
      <c r="I698" s="3">
        <f>SUM(C698:H698)</f>
        <v>6961.27</v>
      </c>
      <c r="K698" s="2" t="s">
        <v>9</v>
      </c>
      <c r="L698" s="2" t="s">
        <v>13</v>
      </c>
      <c r="M698" s="3">
        <f>SUMIFS([1]Base_Classificada!$K:$K,[1]Base_Classificada!$A:$A,K698,[1]Base_Classificada!$H:$H,L698)</f>
        <v>6961.2699999999995</v>
      </c>
      <c r="N698" s="3">
        <f>SUMIFS([1]Base_Classificada!$L:$L,[1]Base_Classificada!$A:$A,K698,[1]Base_Classificada!$H:$H,L698)</f>
        <v>235.22999999999996</v>
      </c>
      <c r="O698" s="6">
        <f t="shared" si="0"/>
        <v>3.3791247861381615E-2</v>
      </c>
      <c r="P698" s="3"/>
    </row>
    <row r="699" spans="1:16" ht="20.100000000000001" customHeight="1" x14ac:dyDescent="0.25">
      <c r="A699" s="2" t="s">
        <v>9</v>
      </c>
      <c r="B699" s="2" t="s">
        <v>14</v>
      </c>
      <c r="C699" s="3">
        <f>SUMIFS([1]Base_Classificada!$K:$K,[1]Base_Classificada!$A:$A,$A699,[1]Base_Classificada!$H:$H,$B699,[1]Base_Classificada!$B:$B,C$694)</f>
        <v>71.64</v>
      </c>
      <c r="D699" s="3">
        <f>SUMIFS([1]Base_Classificada!$K:$K,[1]Base_Classificada!$A:$A,$A699,[1]Base_Classificada!$H:$H,$B699,[1]Base_Classificada!$B:$B,D$694)</f>
        <v>111173.49</v>
      </c>
      <c r="E699" s="3">
        <f>SUMIFS([1]Base_Classificada!$K:$K,[1]Base_Classificada!$A:$A,$A699,[1]Base_Classificada!$H:$H,$B699,[1]Base_Classificada!$B:$B,E$694)</f>
        <v>2061.13</v>
      </c>
      <c r="F699" s="3">
        <f>SUMIFS([1]Base_Classificada!$K:$K,[1]Base_Classificada!$A:$A,$A699,[1]Base_Classificada!$H:$H,$B699,[1]Base_Classificada!$B:$B,F$694)</f>
        <v>41.13</v>
      </c>
      <c r="G699" s="3">
        <f>SUMIFS([1]Base_Classificada!$K:$K,[1]Base_Classificada!$A:$A,$A699,[1]Base_Classificada!$H:$H,$B699,[1]Base_Classificada!$B:$B,G$694)</f>
        <v>545.7299999999999</v>
      </c>
      <c r="H699" s="3">
        <f>SUMIFS([1]Base_Classificada!$K:$K,[1]Base_Classificada!$A:$A,$A699,[1]Base_Classificada!$H:$H,$B699,[1]Base_Classificada!$B:$B,H$694)</f>
        <v>362.13000000000005</v>
      </c>
      <c r="I699" s="3">
        <f>SUM(C699:H699)</f>
        <v>114255.25000000001</v>
      </c>
      <c r="K699" s="2" t="s">
        <v>9</v>
      </c>
      <c r="L699" s="2" t="s">
        <v>14</v>
      </c>
      <c r="M699" s="3">
        <f>SUMIFS([1]Base_Classificada!$K:$K,[1]Base_Classificada!$A:$A,K699,[1]Base_Classificada!$H:$H,L699)</f>
        <v>114255.25000000004</v>
      </c>
      <c r="N699" s="3">
        <f>SUMIFS([1]Base_Classificada!$L:$L,[1]Base_Classificada!$A:$A,K699,[1]Base_Classificada!$H:$H,L699)</f>
        <v>0</v>
      </c>
      <c r="O699" s="6">
        <f t="shared" si="0"/>
        <v>0</v>
      </c>
      <c r="P699" s="3"/>
    </row>
    <row r="700" spans="1:16" ht="20.100000000000001" customHeight="1" x14ac:dyDescent="0.25">
      <c r="A700" s="4" t="s">
        <v>9</v>
      </c>
      <c r="B700" s="4" t="s">
        <v>8</v>
      </c>
      <c r="C700" s="5">
        <f t="shared" ref="C700:I700" si="1">SUM(C695:C699)</f>
        <v>187977.90000000002</v>
      </c>
      <c r="D700" s="5">
        <f t="shared" si="1"/>
        <v>255103.76</v>
      </c>
      <c r="E700" s="5">
        <f t="shared" si="1"/>
        <v>79258</v>
      </c>
      <c r="F700" s="5">
        <f t="shared" si="1"/>
        <v>34086.679999999986</v>
      </c>
      <c r="G700" s="5">
        <f t="shared" si="1"/>
        <v>257204.69</v>
      </c>
      <c r="H700" s="5">
        <f t="shared" si="1"/>
        <v>258877.95000000013</v>
      </c>
      <c r="I700" s="5">
        <f t="shared" si="1"/>
        <v>1072508.98</v>
      </c>
      <c r="K700" s="4" t="s">
        <v>9</v>
      </c>
      <c r="L700" s="4" t="s">
        <v>8</v>
      </c>
      <c r="M700" s="5">
        <f>SUM(M695:M699)</f>
        <v>1072508.9800000002</v>
      </c>
      <c r="N700" s="5">
        <f>SUM(N695:N699)</f>
        <v>64991.600000000049</v>
      </c>
      <c r="O700" s="7">
        <f t="shared" si="0"/>
        <v>6.059772105591138E-2</v>
      </c>
      <c r="P700" s="5"/>
    </row>
    <row r="701" spans="1:16" ht="20.100000000000001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K701" s="2"/>
      <c r="L701" s="2"/>
      <c r="M701" s="3"/>
      <c r="N701" s="3"/>
      <c r="O701" s="6"/>
      <c r="P701" s="3"/>
    </row>
    <row r="702" spans="1:16" ht="20.100000000000001" customHeight="1" x14ac:dyDescent="0.25">
      <c r="A702" s="2" t="s">
        <v>15</v>
      </c>
      <c r="B702" s="2" t="s">
        <v>10</v>
      </c>
      <c r="C702" s="3">
        <f>SUMIFS([1]Base_Classificada!$K:$K,[1]Base_Classificada!$A:$A,$A702,[1]Base_Classificada!$H:$H,$B702,[1]Base_Classificada!$B:$B,C$694)</f>
        <v>43702.84000000004</v>
      </c>
      <c r="D702" s="3">
        <f>SUMIFS([1]Base_Classificada!$K:$K,[1]Base_Classificada!$A:$A,$A702,[1]Base_Classificada!$H:$H,$B702,[1]Base_Classificada!$B:$B,D$694)</f>
        <v>43519.389999999978</v>
      </c>
      <c r="E702" s="3">
        <f>SUMIFS([1]Base_Classificada!$K:$K,[1]Base_Classificada!$A:$A,$A702,[1]Base_Classificada!$H:$H,$B702,[1]Base_Classificada!$B:$B,E$694)</f>
        <v>15473.270000000004</v>
      </c>
      <c r="F702" s="3">
        <f>SUMIFS([1]Base_Classificada!$K:$K,[1]Base_Classificada!$A:$A,$A702,[1]Base_Classificada!$H:$H,$B702,[1]Base_Classificada!$B:$B,F$694)</f>
        <v>47032.529999999977</v>
      </c>
      <c r="G702" s="3">
        <f>SUMIFS([1]Base_Classificada!$K:$K,[1]Base_Classificada!$A:$A,$A702,[1]Base_Classificada!$H:$H,$B702,[1]Base_Classificada!$B:$B,G$694)</f>
        <v>55766.309999999961</v>
      </c>
      <c r="H702" s="3">
        <f>SUMIFS([1]Base_Classificada!$K:$K,[1]Base_Classificada!$A:$A,$A702,[1]Base_Classificada!$H:$H,$B702,[1]Base_Classificada!$B:$B,H$694)</f>
        <v>25117.410000000007</v>
      </c>
      <c r="I702" s="3">
        <f>SUM(C702:H702)</f>
        <v>230611.74999999997</v>
      </c>
      <c r="K702" s="2" t="s">
        <v>15</v>
      </c>
      <c r="L702" s="2" t="s">
        <v>10</v>
      </c>
      <c r="M702" s="3">
        <f>SUMIFS([1]Base_Classificada!$K:$K,[1]Base_Classificada!$A:$A,K702,[1]Base_Classificada!$H:$H,L702)</f>
        <v>230611.75000000017</v>
      </c>
      <c r="N702" s="3">
        <f>SUMIFS([1]Base_Classificada!$L:$L,[1]Base_Classificada!$A:$A,K702,[1]Base_Classificada!$H:$H,L702)</f>
        <v>23567.020000000055</v>
      </c>
      <c r="O702" s="6">
        <f t="shared" ref="O702:O707" si="2">IFERROR(N702/M702,0)</f>
        <v>0.10219349187541414</v>
      </c>
      <c r="P702" s="3"/>
    </row>
    <row r="703" spans="1:16" ht="20.100000000000001" customHeight="1" x14ac:dyDescent="0.25">
      <c r="A703" s="2" t="s">
        <v>15</v>
      </c>
      <c r="B703" s="2" t="s">
        <v>11</v>
      </c>
      <c r="C703" s="3">
        <f>SUMIFS([1]Base_Classificada!$K:$K,[1]Base_Classificada!$A:$A,$A703,[1]Base_Classificada!$H:$H,$B703,[1]Base_Classificada!$B:$B,C$694)</f>
        <v>44113.85</v>
      </c>
      <c r="D703" s="3">
        <f>SUMIFS([1]Base_Classificada!$K:$K,[1]Base_Classificada!$A:$A,$A703,[1]Base_Classificada!$H:$H,$B703,[1]Base_Classificada!$B:$B,D$694)</f>
        <v>15747.47</v>
      </c>
      <c r="E703" s="3">
        <f>SUMIFS([1]Base_Classificada!$K:$K,[1]Base_Classificada!$A:$A,$A703,[1]Base_Classificada!$H:$H,$B703,[1]Base_Classificada!$B:$B,E$694)</f>
        <v>58703.859999999993</v>
      </c>
      <c r="F703" s="3">
        <f>SUMIFS([1]Base_Classificada!$K:$K,[1]Base_Classificada!$A:$A,$A703,[1]Base_Classificada!$H:$H,$B703,[1]Base_Classificada!$B:$B,F$694)</f>
        <v>26171.37</v>
      </c>
      <c r="G703" s="3">
        <f>SUMIFS([1]Base_Classificada!$K:$K,[1]Base_Classificada!$A:$A,$A703,[1]Base_Classificada!$H:$H,$B703,[1]Base_Classificada!$B:$B,G$694)</f>
        <v>30150.350000000002</v>
      </c>
      <c r="H703" s="3">
        <f>SUMIFS([1]Base_Classificada!$K:$K,[1]Base_Classificada!$A:$A,$A703,[1]Base_Classificada!$H:$H,$B703,[1]Base_Classificada!$B:$B,H$694)</f>
        <v>103695.68999999999</v>
      </c>
      <c r="I703" s="3">
        <f>SUM(C703:H703)</f>
        <v>278582.58999999997</v>
      </c>
      <c r="K703" s="2" t="s">
        <v>15</v>
      </c>
      <c r="L703" s="2" t="s">
        <v>11</v>
      </c>
      <c r="M703" s="3">
        <f>SUMIFS([1]Base_Classificada!$K:$K,[1]Base_Classificada!$A:$A,K703,[1]Base_Classificada!$H:$H,L703)</f>
        <v>278582.58999999997</v>
      </c>
      <c r="N703" s="3">
        <f>SUMIFS([1]Base_Classificada!$L:$L,[1]Base_Classificada!$A:$A,K703,[1]Base_Classificada!$H:$H,L703)</f>
        <v>25699.659999999996</v>
      </c>
      <c r="O703" s="6">
        <f t="shared" si="2"/>
        <v>9.2251493533748827E-2</v>
      </c>
      <c r="P703" s="3"/>
    </row>
    <row r="704" spans="1:16" ht="20.100000000000001" customHeight="1" x14ac:dyDescent="0.25">
      <c r="A704" s="2" t="s">
        <v>15</v>
      </c>
      <c r="B704" s="2" t="s">
        <v>12</v>
      </c>
      <c r="C704" s="3">
        <f>SUMIFS([1]Base_Classificada!$K:$K,[1]Base_Classificada!$A:$A,$A704,[1]Base_Classificada!$H:$H,$B704,[1]Base_Classificada!$B:$B,C$694)</f>
        <v>0</v>
      </c>
      <c r="D704" s="3">
        <f>SUMIFS([1]Base_Classificada!$K:$K,[1]Base_Classificada!$A:$A,$A704,[1]Base_Classificada!$H:$H,$B704,[1]Base_Classificada!$B:$B,D$694)</f>
        <v>0</v>
      </c>
      <c r="E704" s="3">
        <f>SUMIFS([1]Base_Classificada!$K:$K,[1]Base_Classificada!$A:$A,$A704,[1]Base_Classificada!$H:$H,$B704,[1]Base_Classificada!$B:$B,E$694)</f>
        <v>0</v>
      </c>
      <c r="F704" s="3">
        <f>SUMIFS([1]Base_Classificada!$K:$K,[1]Base_Classificada!$A:$A,$A704,[1]Base_Classificada!$H:$H,$B704,[1]Base_Classificada!$B:$B,F$694)</f>
        <v>0</v>
      </c>
      <c r="G704" s="3">
        <f>SUMIFS([1]Base_Classificada!$K:$K,[1]Base_Classificada!$A:$A,$A704,[1]Base_Classificada!$H:$H,$B704,[1]Base_Classificada!$B:$B,G$694)</f>
        <v>0</v>
      </c>
      <c r="H704" s="3">
        <f>SUMIFS([1]Base_Classificada!$K:$K,[1]Base_Classificada!$A:$A,$A704,[1]Base_Classificada!$H:$H,$B704,[1]Base_Classificada!$B:$B,H$694)</f>
        <v>0</v>
      </c>
      <c r="I704" s="3">
        <f>SUM(C704:H704)</f>
        <v>0</v>
      </c>
      <c r="K704" s="2" t="s">
        <v>15</v>
      </c>
      <c r="L704" s="2" t="s">
        <v>12</v>
      </c>
      <c r="M704" s="3">
        <f>SUMIFS([1]Base_Classificada!$K:$K,[1]Base_Classificada!$A:$A,K704,[1]Base_Classificada!$H:$H,L704)</f>
        <v>0</v>
      </c>
      <c r="N704" s="3">
        <f>SUMIFS([1]Base_Classificada!$L:$L,[1]Base_Classificada!$A:$A,K704,[1]Base_Classificada!$H:$H,L704)</f>
        <v>0</v>
      </c>
      <c r="O704" s="6">
        <f t="shared" si="2"/>
        <v>0</v>
      </c>
      <c r="P704" s="3"/>
    </row>
    <row r="705" spans="1:16" ht="20.100000000000001" customHeight="1" x14ac:dyDescent="0.25">
      <c r="A705" s="2" t="s">
        <v>15</v>
      </c>
      <c r="B705" s="2" t="s">
        <v>13</v>
      </c>
      <c r="C705" s="3">
        <f>SUMIFS([1]Base_Classificada!$K:$K,[1]Base_Classificada!$A:$A,$A705,[1]Base_Classificada!$H:$H,$B705,[1]Base_Classificada!$B:$B,C$694)</f>
        <v>1201.25</v>
      </c>
      <c r="D705" s="3">
        <f>SUMIFS([1]Base_Classificada!$K:$K,[1]Base_Classificada!$A:$A,$A705,[1]Base_Classificada!$H:$H,$B705,[1]Base_Classificada!$B:$B,D$694)</f>
        <v>0</v>
      </c>
      <c r="E705" s="3">
        <f>SUMIFS([1]Base_Classificada!$K:$K,[1]Base_Classificada!$A:$A,$A705,[1]Base_Classificada!$H:$H,$B705,[1]Base_Classificada!$B:$B,E$694)</f>
        <v>0</v>
      </c>
      <c r="F705" s="3">
        <f>SUMIFS([1]Base_Classificada!$K:$K,[1]Base_Classificada!$A:$A,$A705,[1]Base_Classificada!$H:$H,$B705,[1]Base_Classificada!$B:$B,F$694)</f>
        <v>1571.51</v>
      </c>
      <c r="G705" s="3">
        <f>SUMIFS([1]Base_Classificada!$K:$K,[1]Base_Classificada!$A:$A,$A705,[1]Base_Classificada!$H:$H,$B705,[1]Base_Classificada!$B:$B,G$694)</f>
        <v>72.319999999999993</v>
      </c>
      <c r="H705" s="3">
        <f>SUMIFS([1]Base_Classificada!$K:$K,[1]Base_Classificada!$A:$A,$A705,[1]Base_Classificada!$H:$H,$B705,[1]Base_Classificada!$B:$B,H$694)</f>
        <v>224.79</v>
      </c>
      <c r="I705" s="3">
        <f>SUM(C705:H705)</f>
        <v>3069.8700000000003</v>
      </c>
      <c r="K705" s="2" t="s">
        <v>15</v>
      </c>
      <c r="L705" s="2" t="s">
        <v>13</v>
      </c>
      <c r="M705" s="3">
        <f>SUMIFS([1]Base_Classificada!$K:$K,[1]Base_Classificada!$A:$A,K705,[1]Base_Classificada!$H:$H,L705)</f>
        <v>3069.8700000000003</v>
      </c>
      <c r="N705" s="3">
        <f>SUMIFS([1]Base_Classificada!$L:$L,[1]Base_Classificada!$A:$A,K705,[1]Base_Classificada!$H:$H,L705)</f>
        <v>245.53</v>
      </c>
      <c r="O705" s="6">
        <f t="shared" si="2"/>
        <v>7.9980585497105738E-2</v>
      </c>
      <c r="P705" s="3"/>
    </row>
    <row r="706" spans="1:16" ht="20.100000000000001" customHeight="1" x14ac:dyDescent="0.25">
      <c r="A706" s="2" t="s">
        <v>15</v>
      </c>
      <c r="B706" s="2" t="s">
        <v>14</v>
      </c>
      <c r="C706" s="3">
        <f>SUMIFS([1]Base_Classificada!$K:$K,[1]Base_Classificada!$A:$A,$A706,[1]Base_Classificada!$H:$H,$B706,[1]Base_Classificada!$B:$B,C$694)</f>
        <v>0</v>
      </c>
      <c r="D706" s="3">
        <f>SUMIFS([1]Base_Classificada!$K:$K,[1]Base_Classificada!$A:$A,$A706,[1]Base_Classificada!$H:$H,$B706,[1]Base_Classificada!$B:$B,D$694)</f>
        <v>0</v>
      </c>
      <c r="E706" s="3">
        <f>SUMIFS([1]Base_Classificada!$K:$K,[1]Base_Classificada!$A:$A,$A706,[1]Base_Classificada!$H:$H,$B706,[1]Base_Classificada!$B:$B,E$694)</f>
        <v>0</v>
      </c>
      <c r="F706" s="3">
        <f>SUMIFS([1]Base_Classificada!$K:$K,[1]Base_Classificada!$A:$A,$A706,[1]Base_Classificada!$H:$H,$B706,[1]Base_Classificada!$B:$B,F$694)</f>
        <v>292.25</v>
      </c>
      <c r="G706" s="3">
        <f>SUMIFS([1]Base_Classificada!$K:$K,[1]Base_Classificada!$A:$A,$A706,[1]Base_Classificada!$H:$H,$B706,[1]Base_Classificada!$B:$B,G$694)</f>
        <v>97.9</v>
      </c>
      <c r="H706" s="3">
        <f>SUMIFS([1]Base_Classificada!$K:$K,[1]Base_Classificada!$A:$A,$A706,[1]Base_Classificada!$H:$H,$B706,[1]Base_Classificada!$B:$B,H$694)</f>
        <v>855.51</v>
      </c>
      <c r="I706" s="3">
        <f>SUM(C706:H706)</f>
        <v>1245.6599999999999</v>
      </c>
      <c r="K706" s="2" t="s">
        <v>15</v>
      </c>
      <c r="L706" s="2" t="s">
        <v>14</v>
      </c>
      <c r="M706" s="3">
        <f>SUMIFS([1]Base_Classificada!$K:$K,[1]Base_Classificada!$A:$A,K706,[1]Base_Classificada!$H:$H,L706)</f>
        <v>1245.6600000000001</v>
      </c>
      <c r="N706" s="3">
        <f>SUMIFS([1]Base_Classificada!$L:$L,[1]Base_Classificada!$A:$A,K706,[1]Base_Classificada!$H:$H,L706)</f>
        <v>37.6</v>
      </c>
      <c r="O706" s="6">
        <f t="shared" si="2"/>
        <v>3.0184801631263747E-2</v>
      </c>
      <c r="P706" s="3"/>
    </row>
    <row r="707" spans="1:16" ht="20.100000000000001" customHeight="1" x14ac:dyDescent="0.25">
      <c r="A707" s="4" t="s">
        <v>15</v>
      </c>
      <c r="B707" s="4" t="s">
        <v>8</v>
      </c>
      <c r="C707" s="5">
        <f t="shared" ref="C707:I707" si="3">SUM(C702:C706)</f>
        <v>89017.940000000031</v>
      </c>
      <c r="D707" s="5">
        <f t="shared" si="3"/>
        <v>59266.859999999979</v>
      </c>
      <c r="E707" s="5">
        <f t="shared" si="3"/>
        <v>74177.13</v>
      </c>
      <c r="F707" s="5">
        <f t="shared" si="3"/>
        <v>75067.659999999974</v>
      </c>
      <c r="G707" s="5">
        <f t="shared" si="3"/>
        <v>86086.879999999961</v>
      </c>
      <c r="H707" s="5">
        <f t="shared" si="3"/>
        <v>129893.39999999998</v>
      </c>
      <c r="I707" s="5">
        <f t="shared" si="3"/>
        <v>513509.86999999994</v>
      </c>
      <c r="K707" s="4" t="s">
        <v>15</v>
      </c>
      <c r="L707" s="4" t="s">
        <v>8</v>
      </c>
      <c r="M707" s="5">
        <f>SUM(M702:M706)</f>
        <v>513509.87000000011</v>
      </c>
      <c r="N707" s="5">
        <f>SUM(N702:N706)</f>
        <v>49549.810000000049</v>
      </c>
      <c r="O707" s="7">
        <f t="shared" si="2"/>
        <v>9.6492419902269921E-2</v>
      </c>
      <c r="P707" s="5"/>
    </row>
  </sheetData>
  <autoFilter ref="A1:L689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opLeftCell="A25" workbookViewId="0">
      <selection activeCell="D26" sqref="D26"/>
    </sheetView>
  </sheetViews>
  <sheetFormatPr defaultColWidth="26.85546875" defaultRowHeight="20.100000000000001" customHeight="1" x14ac:dyDescent="0.25"/>
  <sheetData>
    <row r="1" spans="1:6" ht="20.100000000000001" customHeight="1" x14ac:dyDescent="0.25">
      <c r="A1" s="9" t="s">
        <v>747</v>
      </c>
      <c r="B1" s="10"/>
      <c r="C1" s="10"/>
      <c r="D1" s="10"/>
      <c r="E1" s="10"/>
      <c r="F1" s="10"/>
    </row>
    <row r="2" spans="1:6" ht="20.100000000000001" customHeight="1" x14ac:dyDescent="0.25">
      <c r="A2" s="11"/>
      <c r="B2" s="11"/>
      <c r="C2" s="11"/>
      <c r="D2" s="11"/>
      <c r="E2" s="11"/>
      <c r="F2" s="11"/>
    </row>
    <row r="3" spans="1:6" ht="20.100000000000001" customHeight="1" x14ac:dyDescent="0.25">
      <c r="A3" s="12" t="s">
        <v>748</v>
      </c>
      <c r="B3" s="12" t="s">
        <v>749</v>
      </c>
      <c r="C3" s="12" t="s">
        <v>750</v>
      </c>
      <c r="D3" s="12" t="s">
        <v>751</v>
      </c>
      <c r="E3" s="12" t="s">
        <v>752</v>
      </c>
      <c r="F3" s="12" t="s">
        <v>753</v>
      </c>
    </row>
    <row r="4" spans="1:6" ht="20.100000000000001" customHeight="1" x14ac:dyDescent="0.25">
      <c r="A4" s="13" t="s">
        <v>754</v>
      </c>
      <c r="B4" s="14">
        <f>'IMPOSTOS FILIAL BENF.'!B4+'ICMS MATRIZ'!B3</f>
        <v>300000</v>
      </c>
      <c r="C4" s="14">
        <f>'IMPOSTOS FILIAL BENF.'!C4+'ICMS MATRIZ'!C3</f>
        <v>250000</v>
      </c>
      <c r="D4" s="14">
        <f>'IMPOSTOS FILIAL BENF.'!D4+'ICMS MATRIZ'!B3</f>
        <v>400000</v>
      </c>
      <c r="E4" s="11" t="s">
        <v>755</v>
      </c>
      <c r="F4" s="11"/>
    </row>
    <row r="5" spans="1:6" ht="20.100000000000001" customHeight="1" x14ac:dyDescent="0.25">
      <c r="A5" s="13" t="s">
        <v>756</v>
      </c>
      <c r="B5" s="14">
        <f>B4*[2]Premissas!B13</f>
        <v>1950</v>
      </c>
      <c r="C5" s="14">
        <f>C4*[2]Premissas!B13</f>
        <v>1625</v>
      </c>
      <c r="D5" s="14">
        <f>D4*[2]Premissas!B13</f>
        <v>2600</v>
      </c>
      <c r="E5" s="11"/>
      <c r="F5" s="11"/>
    </row>
    <row r="6" spans="1:6" ht="30" x14ac:dyDescent="0.25">
      <c r="A6" s="13" t="s">
        <v>757</v>
      </c>
      <c r="B6" s="14">
        <f>[2]Premissas!E7</f>
        <v>1264.8785066666665</v>
      </c>
      <c r="C6" s="14">
        <f>[2]Premissas!E7</f>
        <v>1264.8785066666665</v>
      </c>
      <c r="D6" s="14">
        <f>[2]Premissas!E7</f>
        <v>1264.8785066666665</v>
      </c>
      <c r="E6" s="11" t="s">
        <v>758</v>
      </c>
      <c r="F6" s="11"/>
    </row>
    <row r="7" spans="1:6" ht="20.100000000000001" customHeight="1" x14ac:dyDescent="0.25">
      <c r="A7" s="15" t="s">
        <v>759</v>
      </c>
      <c r="B7" s="16">
        <f>MAX(0,B5-B6)</f>
        <v>685.12149333333355</v>
      </c>
      <c r="C7" s="16">
        <f>MAX(0,C5-C6)</f>
        <v>360.12149333333355</v>
      </c>
      <c r="D7" s="16">
        <f>MAX(0,D5-D6)</f>
        <v>1335.1214933333335</v>
      </c>
      <c r="E7" s="11"/>
      <c r="F7" s="11"/>
    </row>
    <row r="8" spans="1:6" ht="15" x14ac:dyDescent="0.25">
      <c r="A8" s="13" t="s">
        <v>760</v>
      </c>
      <c r="B8" s="14">
        <f>B4*[2]Premissas!B14</f>
        <v>9000</v>
      </c>
      <c r="C8" s="14">
        <f>C4*[2]Premissas!B14</f>
        <v>7500</v>
      </c>
      <c r="D8" s="14">
        <f>D4*[2]Premissas!B14</f>
        <v>12000</v>
      </c>
      <c r="E8" s="11"/>
      <c r="F8" s="11"/>
    </row>
    <row r="9" spans="1:6" ht="30" x14ac:dyDescent="0.25">
      <c r="A9" s="13" t="s">
        <v>761</v>
      </c>
      <c r="B9" s="14">
        <f>[2]Premissas!E9</f>
        <v>5837.9007999999994</v>
      </c>
      <c r="C9" s="14">
        <f>[2]Premissas!E9</f>
        <v>5837.9007999999994</v>
      </c>
      <c r="D9" s="14">
        <f>[2]Premissas!E9</f>
        <v>5837.9007999999994</v>
      </c>
      <c r="E9" s="11" t="s">
        <v>758</v>
      </c>
      <c r="F9" s="11"/>
    </row>
    <row r="10" spans="1:6" ht="20.100000000000001" customHeight="1" x14ac:dyDescent="0.25">
      <c r="A10" s="15" t="s">
        <v>762</v>
      </c>
      <c r="B10" s="16">
        <f>MAX(0,B8-B9)</f>
        <v>3162.0992000000006</v>
      </c>
      <c r="C10" s="16">
        <f>MAX(0,C8-C9)</f>
        <v>1662.0992000000006</v>
      </c>
      <c r="D10" s="16">
        <f>MAX(0,D8-D9)</f>
        <v>6162.0992000000006</v>
      </c>
      <c r="E10" s="11"/>
      <c r="F10" s="11"/>
    </row>
    <row r="11" spans="1:6" ht="20.100000000000001" customHeight="1" x14ac:dyDescent="0.25">
      <c r="A11" s="13" t="s">
        <v>763</v>
      </c>
      <c r="B11" s="14">
        <f>B4*[2]Premissas!B16</f>
        <v>24000</v>
      </c>
      <c r="C11" s="14">
        <f>C4*[2]Premissas!B16</f>
        <v>20000</v>
      </c>
      <c r="D11" s="14">
        <f>D4*[2]Premissas!B16</f>
        <v>32000</v>
      </c>
      <c r="E11" s="11" t="s">
        <v>764</v>
      </c>
      <c r="F11" s="11"/>
    </row>
    <row r="12" spans="1:6" ht="20.100000000000001" customHeight="1" x14ac:dyDescent="0.25">
      <c r="A12" s="15" t="s">
        <v>765</v>
      </c>
      <c r="B12" s="16">
        <f>B11*[2]Premissas!B18+MAX(0,B11-[2]Premissas!B20)*[2]Premissas!B19</f>
        <v>4000</v>
      </c>
      <c r="C12" s="16">
        <f>C11*[2]Premissas!B18+MAX(0,C11-[2]Premissas!B20)*[2]Premissas!B19</f>
        <v>3000</v>
      </c>
      <c r="D12" s="16">
        <f>D11*[2]Premissas!B18+MAX(0,D11-[2]Premissas!B20)*[2]Premissas!B19</f>
        <v>6000</v>
      </c>
      <c r="E12" s="11"/>
      <c r="F12" s="11"/>
    </row>
    <row r="13" spans="1:6" ht="20.100000000000001" customHeight="1" x14ac:dyDescent="0.25">
      <c r="A13" s="13" t="s">
        <v>766</v>
      </c>
      <c r="B13" s="14">
        <f>B4*[2]Premissas!B17</f>
        <v>36000</v>
      </c>
      <c r="C13" s="14">
        <f>C4*[2]Premissas!B17</f>
        <v>30000</v>
      </c>
      <c r="D13" s="14">
        <f>D4*[2]Premissas!B17</f>
        <v>48000</v>
      </c>
      <c r="E13" s="11"/>
      <c r="F13" s="11"/>
    </row>
    <row r="14" spans="1:6" ht="20.100000000000001" customHeight="1" x14ac:dyDescent="0.25">
      <c r="A14" s="13" t="s">
        <v>767</v>
      </c>
      <c r="B14" s="14">
        <f>B13*[2]Premissas!B21</f>
        <v>3240</v>
      </c>
      <c r="C14" s="14">
        <f>C13*[2]Premissas!B21</f>
        <v>2700</v>
      </c>
      <c r="D14" s="14">
        <f>D13*[2]Premissas!B21</f>
        <v>4320</v>
      </c>
      <c r="E14" s="11"/>
      <c r="F14" s="11"/>
    </row>
    <row r="15" spans="1:6" ht="15" x14ac:dyDescent="0.25">
      <c r="A15" s="15" t="s">
        <v>768</v>
      </c>
      <c r="B15" s="16">
        <f>[2]Filial_LP!B10</f>
        <v>6500</v>
      </c>
      <c r="C15" s="16">
        <f>[2]Filial_LP!C10</f>
        <v>8125</v>
      </c>
      <c r="D15" s="16">
        <f>[2]Filial_LP!D10</f>
        <v>9750</v>
      </c>
      <c r="E15" s="11" t="s">
        <v>769</v>
      </c>
      <c r="F15" s="11"/>
    </row>
    <row r="16" spans="1:6" ht="30" x14ac:dyDescent="0.25">
      <c r="A16" s="17" t="s">
        <v>770</v>
      </c>
      <c r="B16" s="18">
        <f>SUM(B7,B10,B12,B14,B15)</f>
        <v>17587.220693333336</v>
      </c>
      <c r="C16" s="18">
        <f>SUM(C7,C10,C12,C14,C15)</f>
        <v>15847.220693333335</v>
      </c>
      <c r="D16" s="18">
        <f>SUM(D7,D10,D12,D14,D15)</f>
        <v>27567.220693333336</v>
      </c>
      <c r="E16" s="11"/>
      <c r="F16" s="11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5" sqref="B5"/>
    </sheetView>
  </sheetViews>
  <sheetFormatPr defaultColWidth="17.28515625" defaultRowHeight="24.95" customHeight="1" x14ac:dyDescent="0.25"/>
  <cols>
    <col min="1" max="1" width="33" bestFit="1" customWidth="1"/>
    <col min="4" max="4" width="22.140625" customWidth="1"/>
    <col min="5" max="5" width="42.42578125" bestFit="1" customWidth="1"/>
  </cols>
  <sheetData>
    <row r="1" spans="1:5" ht="24.95" customHeight="1" x14ac:dyDescent="0.25">
      <c r="A1" s="9" t="s">
        <v>787</v>
      </c>
      <c r="B1" s="10"/>
      <c r="C1" s="10"/>
      <c r="D1" s="10"/>
      <c r="E1" s="10"/>
    </row>
    <row r="2" spans="1:5" ht="24.95" customHeight="1" x14ac:dyDescent="0.25">
      <c r="A2" s="11"/>
      <c r="B2" s="11"/>
      <c r="C2" s="11"/>
      <c r="D2" s="11"/>
      <c r="E2" s="11"/>
    </row>
    <row r="3" spans="1:5" ht="24.95" customHeight="1" x14ac:dyDescent="0.25">
      <c r="A3" s="12" t="s">
        <v>748</v>
      </c>
      <c r="B3" s="12" t="s">
        <v>749</v>
      </c>
      <c r="C3" s="12" t="s">
        <v>750</v>
      </c>
      <c r="D3" s="12" t="s">
        <v>751</v>
      </c>
      <c r="E3" s="12" t="s">
        <v>752</v>
      </c>
    </row>
    <row r="4" spans="1:5" ht="24.95" customHeight="1" x14ac:dyDescent="0.25">
      <c r="A4" s="13" t="s">
        <v>788</v>
      </c>
      <c r="B4" s="14">
        <v>200000</v>
      </c>
      <c r="C4" s="14">
        <f>[2]Premissas!B8</f>
        <v>250000</v>
      </c>
      <c r="D4" s="14">
        <f>[2]Premissas!B9</f>
        <v>300000</v>
      </c>
      <c r="E4" s="11"/>
    </row>
    <row r="5" spans="1:5" ht="24.95" customHeight="1" x14ac:dyDescent="0.25">
      <c r="A5" s="13" t="s">
        <v>789</v>
      </c>
      <c r="B5" s="14">
        <f>B4*[2]Premissas!B10</f>
        <v>30000</v>
      </c>
      <c r="C5" s="14">
        <f>C4*[2]Premissas!B10</f>
        <v>37500</v>
      </c>
      <c r="D5" s="14">
        <f>D4*[2]Premissas!B10</f>
        <v>45000</v>
      </c>
      <c r="E5" s="11" t="s">
        <v>790</v>
      </c>
    </row>
    <row r="6" spans="1:5" ht="24.95" customHeight="1" x14ac:dyDescent="0.25">
      <c r="A6" s="13" t="s">
        <v>791</v>
      </c>
      <c r="B6" s="14">
        <f>B4*[2]Premissas!B12</f>
        <v>6000</v>
      </c>
      <c r="C6" s="14">
        <f>C4*[2]Premissas!B12</f>
        <v>7500</v>
      </c>
      <c r="D6" s="14">
        <f>D4*[2]Premissas!B12</f>
        <v>9000</v>
      </c>
      <c r="E6" s="11"/>
    </row>
    <row r="7" spans="1:5" ht="24.95" customHeight="1" x14ac:dyDescent="0.25">
      <c r="A7" s="13" t="s">
        <v>792</v>
      </c>
      <c r="B7" s="14">
        <f>B4*[2]Premissas!B13</f>
        <v>1300</v>
      </c>
      <c r="C7" s="14">
        <f>C4*[2]Premissas!B13</f>
        <v>1625</v>
      </c>
      <c r="D7" s="14">
        <f>D4*[2]Premissas!B13</f>
        <v>1950</v>
      </c>
      <c r="E7" s="11"/>
    </row>
    <row r="8" spans="1:5" ht="24.95" customHeight="1" x14ac:dyDescent="0.25">
      <c r="A8" s="13" t="s">
        <v>793</v>
      </c>
      <c r="B8" s="14">
        <f>B4*[2]Premissas!B14</f>
        <v>6000</v>
      </c>
      <c r="C8" s="14">
        <f>C4*[2]Premissas!B14</f>
        <v>7500</v>
      </c>
      <c r="D8" s="14">
        <f>D4*[2]Premissas!B14</f>
        <v>9000</v>
      </c>
      <c r="E8" s="11"/>
    </row>
    <row r="9" spans="1:5" ht="24.95" customHeight="1" x14ac:dyDescent="0.25">
      <c r="A9" s="13" t="s">
        <v>794</v>
      </c>
      <c r="B9" s="14">
        <f>B4*[2]Premissas!B15</f>
        <v>6500</v>
      </c>
      <c r="C9" s="14">
        <f>C4*[2]Premissas!B15</f>
        <v>8125</v>
      </c>
      <c r="D9" s="14">
        <f>D4*[2]Premissas!B15</f>
        <v>9750</v>
      </c>
      <c r="E9" s="11"/>
    </row>
    <row r="10" spans="1:5" ht="24.95" customHeight="1" x14ac:dyDescent="0.25">
      <c r="A10" s="13" t="s">
        <v>795</v>
      </c>
      <c r="B10" s="14">
        <f>B4*[2]Premissas!B16*[2]Premissas!B18+MAX(0,B4*[2]Premissas!B16-[2]Premissas!B20)*[2]Premissas!B19</f>
        <v>2400</v>
      </c>
      <c r="C10" s="14">
        <f>C4*[2]Premissas!B16*[2]Premissas!B18+MAX(0,C4*[2]Premissas!B16-[2]Premissas!B20)*[2]Premissas!B19</f>
        <v>3000</v>
      </c>
      <c r="D10" s="14">
        <f>D4*[2]Premissas!B16*[2]Premissas!B18+MAX(0,D4*[2]Premissas!B16-[2]Premissas!B20)*[2]Premissas!B19</f>
        <v>4000</v>
      </c>
      <c r="E10" s="11" t="s">
        <v>796</v>
      </c>
    </row>
    <row r="11" spans="1:5" ht="24.95" customHeight="1" x14ac:dyDescent="0.25">
      <c r="A11" s="13" t="s">
        <v>797</v>
      </c>
      <c r="B11" s="14">
        <f>B4*[2]Premissas!B17*[2]Premissas!B21</f>
        <v>2160</v>
      </c>
      <c r="C11" s="14">
        <f>C4*[2]Premissas!B17*[2]Premissas!B21</f>
        <v>2700</v>
      </c>
      <c r="D11" s="14">
        <f>D4*[2]Premissas!B17*[2]Premissas!B21</f>
        <v>3240</v>
      </c>
      <c r="E11" s="11" t="s">
        <v>796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7"/>
  <sheetViews>
    <sheetView zoomScaleNormal="100" workbookViewId="0">
      <selection activeCell="B4" sqref="B4"/>
    </sheetView>
  </sheetViews>
  <sheetFormatPr defaultRowHeight="18.95" customHeight="1" x14ac:dyDescent="0.25"/>
  <cols>
    <col min="1" max="1" width="45.7109375" bestFit="1" customWidth="1"/>
    <col min="2" max="2" width="14.42578125" bestFit="1" customWidth="1"/>
    <col min="4" max="4" width="28.7109375" bestFit="1" customWidth="1"/>
    <col min="5" max="5" width="12.7109375" bestFit="1" customWidth="1"/>
    <col min="10" max="10" width="38.42578125" bestFit="1" customWidth="1"/>
    <col min="11" max="11" width="16.85546875" customWidth="1"/>
    <col min="12" max="12" width="34.28515625" bestFit="1" customWidth="1"/>
  </cols>
  <sheetData>
    <row r="1" spans="1:13" ht="18.95" customHeight="1" x14ac:dyDescent="0.25">
      <c r="A1" s="9" t="s">
        <v>868</v>
      </c>
      <c r="B1" s="9"/>
      <c r="C1" s="9"/>
      <c r="D1" s="9"/>
      <c r="E1" s="9"/>
      <c r="F1" s="9"/>
      <c r="J1" s="9" t="s">
        <v>822</v>
      </c>
      <c r="K1" s="10"/>
      <c r="L1" s="10"/>
      <c r="M1" s="10"/>
    </row>
    <row r="2" spans="1:13" ht="18.95" customHeight="1" x14ac:dyDescent="0.25">
      <c r="A2" s="11"/>
      <c r="B2" s="11"/>
      <c r="C2" s="11"/>
      <c r="D2" s="11"/>
      <c r="E2" s="11"/>
      <c r="F2" s="11"/>
      <c r="J2" s="11"/>
      <c r="K2" s="11"/>
      <c r="L2" s="11"/>
      <c r="M2" s="11"/>
    </row>
    <row r="3" spans="1:13" ht="18.95" customHeight="1" x14ac:dyDescent="0.25">
      <c r="A3" s="13" t="s">
        <v>867</v>
      </c>
      <c r="B3" s="32">
        <v>100000</v>
      </c>
      <c r="C3" s="11"/>
      <c r="D3" s="12" t="s">
        <v>866</v>
      </c>
      <c r="E3" s="11"/>
      <c r="F3" s="11"/>
      <c r="J3" s="12" t="s">
        <v>748</v>
      </c>
      <c r="K3" s="12" t="s">
        <v>804</v>
      </c>
      <c r="L3" s="12" t="s">
        <v>752</v>
      </c>
      <c r="M3" s="12" t="s">
        <v>753</v>
      </c>
    </row>
    <row r="4" spans="1:13" ht="18.95" customHeight="1" x14ac:dyDescent="0.25">
      <c r="A4" s="13" t="s">
        <v>865</v>
      </c>
      <c r="B4" s="32">
        <v>80000</v>
      </c>
      <c r="C4" s="11"/>
      <c r="D4" s="13" t="s">
        <v>864</v>
      </c>
      <c r="E4" s="14">
        <f>B22*B23</f>
        <v>210164.42879999997</v>
      </c>
      <c r="F4" s="11"/>
      <c r="J4" s="13" t="s">
        <v>788</v>
      </c>
      <c r="K4" s="14">
        <f>B3</f>
        <v>100000</v>
      </c>
      <c r="L4" s="11" t="s">
        <v>823</v>
      </c>
      <c r="M4" s="11"/>
    </row>
    <row r="5" spans="1:13" ht="18.95" customHeight="1" x14ac:dyDescent="0.25">
      <c r="A5" s="13" t="s">
        <v>863</v>
      </c>
      <c r="B5" s="31">
        <v>0.22</v>
      </c>
      <c r="C5" s="11"/>
      <c r="D5" s="13" t="s">
        <v>862</v>
      </c>
      <c r="E5" s="14">
        <f>E4/B26</f>
        <v>35027.404799999997</v>
      </c>
      <c r="F5" s="11"/>
      <c r="J5" s="13" t="s">
        <v>824</v>
      </c>
      <c r="K5" s="14">
        <f>K4*B5</f>
        <v>22000</v>
      </c>
      <c r="L5" s="11" t="s">
        <v>825</v>
      </c>
      <c r="M5" s="11"/>
    </row>
    <row r="6" spans="1:13" ht="18.95" customHeight="1" x14ac:dyDescent="0.25">
      <c r="A6" s="13" t="s">
        <v>861</v>
      </c>
      <c r="B6" s="31">
        <v>9.8117120861948223E-2</v>
      </c>
      <c r="C6" s="11"/>
      <c r="D6" s="13" t="s">
        <v>860</v>
      </c>
      <c r="E6" s="14">
        <f>B22*B24</f>
        <v>15178.542079999997</v>
      </c>
      <c r="F6" s="11"/>
      <c r="J6" s="13" t="s">
        <v>826</v>
      </c>
      <c r="K6" s="14">
        <f>B6*B4</f>
        <v>7849.3696689558583</v>
      </c>
      <c r="L6" s="11" t="s">
        <v>827</v>
      </c>
      <c r="M6" s="11"/>
    </row>
    <row r="7" spans="1:13" ht="18.95" customHeight="1" x14ac:dyDescent="0.25">
      <c r="A7" s="13" t="s">
        <v>859</v>
      </c>
      <c r="B7" s="32">
        <v>200000</v>
      </c>
      <c r="C7" s="11"/>
      <c r="D7" s="34" t="s">
        <v>858</v>
      </c>
      <c r="E7" s="33">
        <f>E6/B27</f>
        <v>1264.8785066666665</v>
      </c>
      <c r="F7" s="11"/>
      <c r="J7" s="13" t="s">
        <v>828</v>
      </c>
      <c r="K7" s="14">
        <f>K5-K6</f>
        <v>14150.630331044142</v>
      </c>
      <c r="L7" s="11"/>
      <c r="M7" s="11"/>
    </row>
    <row r="8" spans="1:13" ht="18.95" customHeight="1" x14ac:dyDescent="0.25">
      <c r="A8" s="13" t="s">
        <v>857</v>
      </c>
      <c r="B8" s="32">
        <v>250000</v>
      </c>
      <c r="C8" s="11"/>
      <c r="D8" s="13" t="s">
        <v>856</v>
      </c>
      <c r="E8" s="14">
        <f>B22*B25</f>
        <v>70054.809599999993</v>
      </c>
      <c r="F8" s="11"/>
      <c r="J8" s="13" t="s">
        <v>829</v>
      </c>
      <c r="K8" s="14">
        <f>E5</f>
        <v>35027.404799999997</v>
      </c>
      <c r="L8" s="11" t="s">
        <v>830</v>
      </c>
      <c r="M8" s="11"/>
    </row>
    <row r="9" spans="1:13" ht="18.95" customHeight="1" x14ac:dyDescent="0.25">
      <c r="A9" s="13" t="s">
        <v>855</v>
      </c>
      <c r="B9" s="32">
        <v>300000</v>
      </c>
      <c r="C9" s="11"/>
      <c r="D9" s="34" t="s">
        <v>854</v>
      </c>
      <c r="E9" s="33">
        <f>E8/B27</f>
        <v>5837.9007999999994</v>
      </c>
      <c r="F9" s="11"/>
      <c r="J9" s="17" t="s">
        <v>831</v>
      </c>
      <c r="K9" s="18">
        <f>MAX(0,K7-K8)</f>
        <v>0</v>
      </c>
      <c r="L9" s="11" t="s">
        <v>832</v>
      </c>
      <c r="M9" s="11"/>
    </row>
    <row r="10" spans="1:13" ht="18.95" customHeight="1" x14ac:dyDescent="0.25">
      <c r="A10" s="13" t="s">
        <v>853</v>
      </c>
      <c r="B10" s="31">
        <v>0.15</v>
      </c>
      <c r="C10" s="11"/>
      <c r="D10" s="17" t="s">
        <v>852</v>
      </c>
      <c r="E10" s="18">
        <f>SUM(G5,E7,E9)</f>
        <v>7102.7793066666654</v>
      </c>
      <c r="F10" s="11"/>
      <c r="J10" s="17" t="s">
        <v>833</v>
      </c>
      <c r="K10" s="18">
        <f>MAX(0,K8-K7)</f>
        <v>20876.774468955853</v>
      </c>
      <c r="L10" s="11" t="s">
        <v>834</v>
      </c>
      <c r="M10" s="11"/>
    </row>
    <row r="11" spans="1:13" ht="18.95" customHeight="1" x14ac:dyDescent="0.25">
      <c r="A11" s="13" t="s">
        <v>851</v>
      </c>
      <c r="B11" s="32">
        <v>280000</v>
      </c>
      <c r="C11" s="11"/>
      <c r="D11" s="11"/>
      <c r="E11" s="11"/>
      <c r="F11" s="11"/>
    </row>
    <row r="12" spans="1:13" ht="18.95" customHeight="1" x14ac:dyDescent="0.25">
      <c r="A12" s="13" t="s">
        <v>850</v>
      </c>
      <c r="B12" s="31">
        <v>0.03</v>
      </c>
      <c r="C12" s="11"/>
      <c r="D12" s="11"/>
      <c r="E12" s="11"/>
      <c r="F12" s="11"/>
    </row>
    <row r="13" spans="1:13" ht="18.95" customHeight="1" x14ac:dyDescent="0.25">
      <c r="A13" s="13" t="s">
        <v>849</v>
      </c>
      <c r="B13" s="31">
        <v>6.4999999999999997E-3</v>
      </c>
      <c r="C13" s="11"/>
      <c r="D13" s="11"/>
      <c r="E13" s="11"/>
      <c r="F13" s="11"/>
    </row>
    <row r="14" spans="1:13" ht="18.95" customHeight="1" x14ac:dyDescent="0.25">
      <c r="A14" s="13" t="s">
        <v>848</v>
      </c>
      <c r="B14" s="31">
        <v>0.03</v>
      </c>
      <c r="C14" s="11"/>
      <c r="D14" s="11"/>
      <c r="E14" s="11"/>
      <c r="F14" s="11"/>
    </row>
    <row r="15" spans="1:13" ht="18.95" customHeight="1" x14ac:dyDescent="0.25">
      <c r="A15" s="13" t="s">
        <v>847</v>
      </c>
      <c r="B15" s="31">
        <v>3.2500000000000001E-2</v>
      </c>
      <c r="C15" s="11"/>
      <c r="D15" s="11"/>
      <c r="E15" s="11"/>
      <c r="F15" s="11"/>
    </row>
    <row r="16" spans="1:13" ht="18.95" customHeight="1" x14ac:dyDescent="0.25">
      <c r="A16" s="13" t="s">
        <v>846</v>
      </c>
      <c r="B16" s="31">
        <v>0.08</v>
      </c>
      <c r="C16" s="11"/>
      <c r="D16" s="11"/>
      <c r="E16" s="11"/>
      <c r="F16" s="11"/>
    </row>
    <row r="17" spans="1:6" ht="18.95" customHeight="1" x14ac:dyDescent="0.25">
      <c r="A17" s="13" t="s">
        <v>845</v>
      </c>
      <c r="B17" s="31">
        <v>0.12</v>
      </c>
      <c r="C17" s="11"/>
      <c r="D17" s="11"/>
      <c r="E17" s="11"/>
      <c r="F17" s="11"/>
    </row>
    <row r="18" spans="1:6" ht="18.95" customHeight="1" x14ac:dyDescent="0.25">
      <c r="A18" s="13" t="s">
        <v>844</v>
      </c>
      <c r="B18" s="31">
        <v>0.15</v>
      </c>
      <c r="C18" s="11"/>
      <c r="D18" s="11"/>
      <c r="E18" s="11"/>
      <c r="F18" s="11"/>
    </row>
    <row r="19" spans="1:6" ht="18.95" customHeight="1" x14ac:dyDescent="0.25">
      <c r="A19" s="13" t="s">
        <v>843</v>
      </c>
      <c r="B19" s="31">
        <v>0.1</v>
      </c>
      <c r="C19" s="11"/>
      <c r="D19" s="11"/>
      <c r="E19" s="11"/>
      <c r="F19" s="11"/>
    </row>
    <row r="20" spans="1:6" ht="18.95" customHeight="1" x14ac:dyDescent="0.25">
      <c r="A20" s="13" t="s">
        <v>842</v>
      </c>
      <c r="B20" s="32">
        <v>20000</v>
      </c>
      <c r="C20" s="11"/>
      <c r="D20" s="11"/>
      <c r="E20" s="11"/>
      <c r="F20" s="11"/>
    </row>
    <row r="21" spans="1:6" ht="18.95" customHeight="1" x14ac:dyDescent="0.25">
      <c r="A21" s="13" t="s">
        <v>841</v>
      </c>
      <c r="B21" s="31">
        <v>0.09</v>
      </c>
      <c r="C21" s="11"/>
      <c r="D21" s="11"/>
      <c r="E21" s="11"/>
      <c r="F21" s="11"/>
    </row>
    <row r="22" spans="1:6" ht="18.95" customHeight="1" x14ac:dyDescent="0.25">
      <c r="A22" s="13" t="s">
        <v>840</v>
      </c>
      <c r="B22" s="32">
        <v>2335160.3199999998</v>
      </c>
      <c r="C22" s="11"/>
      <c r="D22" s="11"/>
      <c r="E22" s="11"/>
      <c r="F22" s="11"/>
    </row>
    <row r="23" spans="1:6" ht="18.95" customHeight="1" x14ac:dyDescent="0.25">
      <c r="A23" s="13" t="s">
        <v>839</v>
      </c>
      <c r="B23" s="31">
        <v>0.09</v>
      </c>
      <c r="C23" s="11"/>
      <c r="D23" s="11"/>
      <c r="E23" s="11"/>
      <c r="F23" s="11"/>
    </row>
    <row r="24" spans="1:6" ht="18.95" customHeight="1" x14ac:dyDescent="0.25">
      <c r="A24" s="13" t="s">
        <v>838</v>
      </c>
      <c r="B24" s="31">
        <v>6.4999999999999997E-3</v>
      </c>
      <c r="C24" s="11"/>
      <c r="D24" s="11"/>
      <c r="E24" s="11"/>
      <c r="F24" s="11"/>
    </row>
    <row r="25" spans="1:6" ht="18.95" customHeight="1" x14ac:dyDescent="0.25">
      <c r="A25" s="13" t="s">
        <v>837</v>
      </c>
      <c r="B25" s="31">
        <v>0.03</v>
      </c>
      <c r="C25" s="11"/>
      <c r="D25" s="11"/>
      <c r="E25" s="11"/>
      <c r="F25" s="11"/>
    </row>
    <row r="26" spans="1:6" ht="18.95" customHeight="1" x14ac:dyDescent="0.25">
      <c r="A26" s="13" t="s">
        <v>836</v>
      </c>
      <c r="B26" s="30">
        <v>6</v>
      </c>
      <c r="C26" s="11"/>
      <c r="D26" s="11"/>
      <c r="E26" s="11"/>
      <c r="F26" s="11"/>
    </row>
    <row r="27" spans="1:6" ht="18.95" customHeight="1" x14ac:dyDescent="0.25">
      <c r="A27" s="13" t="s">
        <v>835</v>
      </c>
      <c r="B27" s="29">
        <v>12</v>
      </c>
    </row>
  </sheetData>
  <mergeCells count="2">
    <mergeCell ref="A1:F1"/>
    <mergeCell ref="J1:M1"/>
  </mergeCell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activeCell="J36" sqref="J36"/>
    </sheetView>
  </sheetViews>
  <sheetFormatPr defaultColWidth="21.42578125" defaultRowHeight="20.100000000000001" customHeight="1" x14ac:dyDescent="0.25"/>
  <sheetData>
    <row r="1" spans="1:6" ht="20.100000000000001" customHeight="1" x14ac:dyDescent="0.25">
      <c r="A1" s="9" t="s">
        <v>771</v>
      </c>
      <c r="B1" s="10"/>
      <c r="C1" s="10"/>
      <c r="D1" s="10"/>
      <c r="E1" s="10"/>
      <c r="F1" s="10"/>
    </row>
    <row r="2" spans="1:6" ht="20.100000000000001" customHeight="1" x14ac:dyDescent="0.25">
      <c r="A2" s="11"/>
      <c r="B2" s="11"/>
      <c r="C2" s="11"/>
      <c r="D2" s="11"/>
      <c r="E2" s="11"/>
      <c r="F2" s="11"/>
    </row>
    <row r="3" spans="1:6" ht="20.100000000000001" customHeight="1" x14ac:dyDescent="0.25">
      <c r="A3" s="12" t="s">
        <v>748</v>
      </c>
      <c r="B3" s="12" t="s">
        <v>749</v>
      </c>
      <c r="C3" s="12" t="s">
        <v>750</v>
      </c>
      <c r="D3" s="12" t="s">
        <v>751</v>
      </c>
      <c r="E3" s="12" t="s">
        <v>752</v>
      </c>
      <c r="F3" s="12" t="s">
        <v>772</v>
      </c>
    </row>
    <row r="4" spans="1:6" ht="30" x14ac:dyDescent="0.25">
      <c r="A4" s="13" t="s">
        <v>773</v>
      </c>
      <c r="B4" s="14">
        <f>[2]Matriz_ICMS!B9</f>
        <v>1123.2255310441469</v>
      </c>
      <c r="C4" s="14">
        <f>[2]Matriz_ICMS!B9</f>
        <v>1123.2255310441469</v>
      </c>
      <c r="D4" s="14">
        <f>[2]Matriz_ICMS!B9</f>
        <v>1123.2255310441469</v>
      </c>
      <c r="E4" s="11" t="s">
        <v>774</v>
      </c>
      <c r="F4" s="11" t="s">
        <v>775</v>
      </c>
    </row>
    <row r="5" spans="1:6" ht="30" x14ac:dyDescent="0.25">
      <c r="A5" s="13" t="s">
        <v>776</v>
      </c>
      <c r="B5" s="14">
        <f>[2]Filial_LP!B7</f>
        <v>6000</v>
      </c>
      <c r="C5" s="14">
        <f>[2]Filial_LP!C7</f>
        <v>7500</v>
      </c>
      <c r="D5" s="14">
        <f>[2]Filial_LP!D7</f>
        <v>9000</v>
      </c>
      <c r="E5" s="11"/>
      <c r="F5" s="11" t="s">
        <v>777</v>
      </c>
    </row>
    <row r="6" spans="1:6" ht="30" x14ac:dyDescent="0.25">
      <c r="A6" s="13" t="s">
        <v>778</v>
      </c>
      <c r="B6" s="14">
        <f>[2]Federal_Consolidado!B16</f>
        <v>24317.220693333336</v>
      </c>
      <c r="C6" s="14">
        <f>[2]Federal_Consolidado!C16</f>
        <v>29307.220693333336</v>
      </c>
      <c r="D6" s="14">
        <f>[2]Federal_Consolidado!D16</f>
        <v>34297.220693333336</v>
      </c>
      <c r="E6" s="11"/>
      <c r="F6" s="11" t="s">
        <v>779</v>
      </c>
    </row>
    <row r="7" spans="1:6" ht="30" x14ac:dyDescent="0.25">
      <c r="A7" s="17" t="s">
        <v>780</v>
      </c>
      <c r="B7" s="18">
        <f>SUM(B4:B6)</f>
        <v>31440.446224377483</v>
      </c>
      <c r="C7" s="18">
        <f>SUM(C4:C6)</f>
        <v>37930.446224377483</v>
      </c>
      <c r="D7" s="18">
        <f>SUM(D4:D6)</f>
        <v>44420.446224377483</v>
      </c>
      <c r="E7" s="11"/>
      <c r="F7" s="11" t="s">
        <v>781</v>
      </c>
    </row>
    <row r="8" spans="1:6" ht="20.100000000000001" customHeight="1" x14ac:dyDescent="0.25">
      <c r="A8" s="17" t="s">
        <v>782</v>
      </c>
      <c r="B8" s="18">
        <f>[2]Federal_Consolidado!B4</f>
        <v>400000</v>
      </c>
      <c r="C8" s="18">
        <f>[2]Federal_Consolidado!C4</f>
        <v>450000</v>
      </c>
      <c r="D8" s="18">
        <f>[2]Federal_Consolidado!D4</f>
        <v>500000</v>
      </c>
      <c r="E8" s="11"/>
      <c r="F8" s="11"/>
    </row>
    <row r="9" spans="1:6" ht="15" x14ac:dyDescent="0.25">
      <c r="A9" s="13" t="s">
        <v>783</v>
      </c>
      <c r="B9" s="19">
        <f>IFERROR(B7/B8,0)</f>
        <v>7.8601115560943707E-2</v>
      </c>
      <c r="C9" s="19">
        <f>IFERROR(C7/C8,0)</f>
        <v>8.4289880498616632E-2</v>
      </c>
      <c r="D9" s="19">
        <f>IFERROR(D7/D8,0)</f>
        <v>8.8840892448754968E-2</v>
      </c>
      <c r="E9" s="11" t="s">
        <v>784</v>
      </c>
      <c r="F9" s="11"/>
    </row>
    <row r="10" spans="1:6" ht="45" x14ac:dyDescent="0.25">
      <c r="A10" s="15" t="s">
        <v>785</v>
      </c>
      <c r="B10" s="16">
        <f>[2]Premissas!B3+[2]Premissas!B7-([2]Filial_LP!B5+[2]Premissas!B11)</f>
        <v>90000</v>
      </c>
      <c r="C10" s="16">
        <f>[2]Premissas!B3+[2]Premissas!B8-([2]Filial_LP!C5+[2]Premissas!B11)</f>
        <v>132500</v>
      </c>
      <c r="D10" s="16">
        <f>[2]Premissas!B3+[2]Premissas!B9-([2]Filial_LP!D5+[2]Premissas!B11)</f>
        <v>175000</v>
      </c>
      <c r="E10" s="11" t="s">
        <v>786</v>
      </c>
      <c r="F10" s="11"/>
    </row>
    <row r="13" spans="1:6" ht="20.100000000000001" customHeight="1" x14ac:dyDescent="0.3">
      <c r="A13" s="20" t="s">
        <v>798</v>
      </c>
      <c r="B13" s="21"/>
      <c r="C13" s="21"/>
      <c r="D13" s="21"/>
      <c r="E13" s="21"/>
      <c r="F13" s="21"/>
    </row>
    <row r="15" spans="1:6" ht="20.100000000000001" customHeight="1" x14ac:dyDescent="0.25">
      <c r="A15" s="22" t="s">
        <v>799</v>
      </c>
      <c r="B15" t="s">
        <v>800</v>
      </c>
    </row>
    <row r="17" spans="1:8" ht="20.100000000000001" customHeight="1" x14ac:dyDescent="0.25">
      <c r="A17" s="22" t="s">
        <v>801</v>
      </c>
      <c r="B17" t="s">
        <v>802</v>
      </c>
    </row>
    <row r="19" spans="1:8" ht="20.100000000000001" customHeight="1" x14ac:dyDescent="0.25">
      <c r="A19" s="23" t="s">
        <v>803</v>
      </c>
      <c r="B19" s="23" t="s">
        <v>804</v>
      </c>
    </row>
    <row r="20" spans="1:8" ht="20.100000000000001" customHeight="1" x14ac:dyDescent="0.25">
      <c r="A20" t="s">
        <v>805</v>
      </c>
      <c r="B20" s="24">
        <v>276</v>
      </c>
    </row>
    <row r="21" spans="1:8" ht="20.100000000000001" customHeight="1" x14ac:dyDescent="0.25">
      <c r="A21" t="s">
        <v>806</v>
      </c>
      <c r="B21" s="25">
        <v>20000.84</v>
      </c>
    </row>
    <row r="22" spans="1:8" ht="20.100000000000001" customHeight="1" x14ac:dyDescent="0.25">
      <c r="A22" t="s">
        <v>807</v>
      </c>
      <c r="B22" s="25">
        <v>325.24</v>
      </c>
    </row>
    <row r="23" spans="1:8" ht="20.100000000000001" customHeight="1" x14ac:dyDescent="0.25">
      <c r="A23" t="s">
        <v>808</v>
      </c>
      <c r="B23" s="25">
        <v>2800.1176</v>
      </c>
    </row>
    <row r="24" spans="1:8" ht="20.100000000000001" customHeight="1" x14ac:dyDescent="0.25">
      <c r="A24" t="s">
        <v>809</v>
      </c>
      <c r="B24" s="25">
        <v>4400.1848</v>
      </c>
    </row>
    <row r="25" spans="1:8" ht="20.100000000000001" customHeight="1" x14ac:dyDescent="0.25">
      <c r="A25" t="s">
        <v>810</v>
      </c>
      <c r="B25" s="25">
        <v>1600.0672</v>
      </c>
    </row>
    <row r="26" spans="1:8" ht="20.100000000000001" customHeight="1" x14ac:dyDescent="0.25">
      <c r="A26" t="s">
        <v>811</v>
      </c>
      <c r="B26" s="26">
        <v>1.626131702468497E-2</v>
      </c>
    </row>
    <row r="27" spans="1:8" ht="20.100000000000001" customHeight="1" x14ac:dyDescent="0.25">
      <c r="A27" t="s">
        <v>812</v>
      </c>
      <c r="B27" s="26">
        <v>0.14000000000000001</v>
      </c>
    </row>
    <row r="30" spans="1:8" ht="20.100000000000001" customHeight="1" x14ac:dyDescent="0.25">
      <c r="A30" s="22" t="s">
        <v>813</v>
      </c>
    </row>
    <row r="31" spans="1:8" ht="20.100000000000001" customHeight="1" x14ac:dyDescent="0.25">
      <c r="A31" s="23" t="s">
        <v>814</v>
      </c>
      <c r="B31" s="23" t="s">
        <v>815</v>
      </c>
      <c r="C31" s="23" t="s">
        <v>816</v>
      </c>
      <c r="D31" s="23" t="s">
        <v>817</v>
      </c>
      <c r="E31" s="23" t="s">
        <v>818</v>
      </c>
      <c r="F31" s="23" t="s">
        <v>819</v>
      </c>
      <c r="G31" s="23" t="s">
        <v>820</v>
      </c>
      <c r="H31" s="23" t="s">
        <v>821</v>
      </c>
    </row>
    <row r="32" spans="1:8" ht="20.100000000000001" customHeight="1" x14ac:dyDescent="0.25">
      <c r="A32" t="s">
        <v>2</v>
      </c>
      <c r="B32" s="24">
        <v>39</v>
      </c>
      <c r="C32" s="25">
        <v>4066.77</v>
      </c>
      <c r="D32" s="25">
        <v>0</v>
      </c>
      <c r="E32" s="25">
        <v>569.34780000000012</v>
      </c>
      <c r="F32" s="25">
        <v>894.68939999999998</v>
      </c>
      <c r="G32" s="27">
        <f>F32-E32</f>
        <v>325.34159999999986</v>
      </c>
      <c r="H32" s="28">
        <v>0.14000000000000001</v>
      </c>
    </row>
    <row r="33" spans="1:8" ht="20.100000000000001" customHeight="1" x14ac:dyDescent="0.25">
      <c r="A33" t="s">
        <v>3</v>
      </c>
      <c r="B33" s="24">
        <v>35</v>
      </c>
      <c r="C33" s="25">
        <v>1423.96</v>
      </c>
      <c r="D33" s="25">
        <v>0</v>
      </c>
      <c r="E33" s="25">
        <v>199.3544</v>
      </c>
      <c r="F33" s="25">
        <v>313.27120000000002</v>
      </c>
      <c r="G33" s="27">
        <f>F33-E33</f>
        <v>113.91680000000002</v>
      </c>
      <c r="H33" s="28">
        <v>0.14000000000000001</v>
      </c>
    </row>
    <row r="34" spans="1:8" ht="20.100000000000001" customHeight="1" x14ac:dyDescent="0.25">
      <c r="A34" t="s">
        <v>4</v>
      </c>
      <c r="B34" s="24">
        <v>44</v>
      </c>
      <c r="C34" s="25">
        <v>1494.41</v>
      </c>
      <c r="D34" s="25">
        <v>0</v>
      </c>
      <c r="E34" s="25">
        <v>209.2174</v>
      </c>
      <c r="F34" s="25">
        <v>328.77019999999999</v>
      </c>
      <c r="G34" s="27">
        <f>F34-E34</f>
        <v>119.55279999999999</v>
      </c>
      <c r="H34" s="28">
        <v>0.14000000000000001</v>
      </c>
    </row>
    <row r="35" spans="1:8" ht="20.100000000000001" customHeight="1" x14ac:dyDescent="0.25">
      <c r="A35" t="s">
        <v>5</v>
      </c>
      <c r="B35" s="24">
        <v>61</v>
      </c>
      <c r="C35" s="25">
        <v>3960.97</v>
      </c>
      <c r="D35" s="25">
        <v>0</v>
      </c>
      <c r="E35" s="25">
        <v>554.53579999999999</v>
      </c>
      <c r="F35" s="25">
        <v>871.41340000000002</v>
      </c>
      <c r="G35" s="27">
        <f>F35-E35</f>
        <v>316.87760000000003</v>
      </c>
      <c r="H35" s="28">
        <v>0.14000000000000001</v>
      </c>
    </row>
    <row r="36" spans="1:8" ht="20.100000000000001" customHeight="1" x14ac:dyDescent="0.25">
      <c r="A36" t="s">
        <v>6</v>
      </c>
      <c r="B36" s="24">
        <v>45</v>
      </c>
      <c r="C36" s="25">
        <v>7413.08</v>
      </c>
      <c r="D36" s="25">
        <v>325.24</v>
      </c>
      <c r="E36" s="25">
        <v>1037.8312000000001</v>
      </c>
      <c r="F36" s="25">
        <v>1630.8776</v>
      </c>
      <c r="G36" s="27">
        <f>F36-E36</f>
        <v>593.04639999999995</v>
      </c>
      <c r="H36" s="28">
        <v>0.14000000000000001</v>
      </c>
    </row>
    <row r="37" spans="1:8" ht="20.100000000000001" customHeight="1" x14ac:dyDescent="0.25">
      <c r="A37" t="s">
        <v>7</v>
      </c>
      <c r="B37" s="24">
        <v>52</v>
      </c>
      <c r="C37" s="25">
        <v>1641.65</v>
      </c>
      <c r="D37" s="25">
        <v>0</v>
      </c>
      <c r="E37" s="25">
        <v>229.83099999999999</v>
      </c>
      <c r="F37" s="25">
        <v>361.16300000000001</v>
      </c>
      <c r="G37" s="27">
        <f>F37-E37</f>
        <v>131.33200000000002</v>
      </c>
      <c r="H37" s="28">
        <v>0.14000000000000001</v>
      </c>
    </row>
  </sheetData>
  <mergeCells count="2">
    <mergeCell ref="A1:F1"/>
    <mergeCell ref="A13:F1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36" sqref="G36"/>
    </sheetView>
  </sheetViews>
  <sheetFormatPr defaultRowHeight="15" x14ac:dyDescent="0.25"/>
  <cols>
    <col min="1" max="1" width="33.140625" bestFit="1" customWidth="1"/>
    <col min="2" max="2" width="25.85546875" customWidth="1"/>
    <col min="3" max="3" width="11.42578125" bestFit="1" customWidth="1"/>
    <col min="5" max="5" width="16.7109375" bestFit="1" customWidth="1"/>
    <col min="6" max="6" width="14.85546875" bestFit="1" customWidth="1"/>
    <col min="7" max="7" width="23" bestFit="1" customWidth="1"/>
  </cols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REVENDA.CREDITO ICMS</vt:lpstr>
      <vt:lpstr>FEDERAL CONSOLIDADO MT FL</vt:lpstr>
      <vt:lpstr>IMPOSTOS FILIAL BENF.</vt:lpstr>
      <vt:lpstr>ICMS MATRIZ</vt:lpstr>
      <vt:lpstr>DASHNOARD EXECUTIVO</vt:lpstr>
      <vt:lpstr>FERRAGENS DECRETO 28494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Jéssica Amaduro de Mello</dc:creator>
  <cp:lastModifiedBy>Jéssica Amaduro de Mello</cp:lastModifiedBy>
  <dcterms:created xsi:type="dcterms:W3CDTF">2026-03-12T14:43:11Z</dcterms:created>
  <dcterms:modified xsi:type="dcterms:W3CDTF">2026-03-12T15:05:29Z</dcterms:modified>
</cp:coreProperties>
</file>